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Brand Sales &amp; Average Price Rep" sheetId="2" r:id="rId6"/>
    <sheet state="visible" name="Model Analysis" sheetId="3" r:id="rId7"/>
    <sheet state="visible" name="Sales Trends" sheetId="4" r:id="rId8"/>
    <sheet state="visible" name="Dashboard" sheetId="5" r:id="rId9"/>
  </sheets>
  <definedNames/>
  <calcPr/>
  <pivotCaches>
    <pivotCache cacheId="0" r:id="rId10"/>
    <pivotCache cacheId="1" r:id="rId11"/>
  </pivotCaches>
</workbook>
</file>

<file path=xl/sharedStrings.xml><?xml version="1.0" encoding="utf-8"?>
<sst xmlns="http://schemas.openxmlformats.org/spreadsheetml/2006/main" count="5572" uniqueCount="837">
  <si>
    <t>year</t>
  </si>
  <si>
    <t>make</t>
  </si>
  <si>
    <t>model</t>
  </si>
  <si>
    <t>trim</t>
  </si>
  <si>
    <t>body</t>
  </si>
  <si>
    <t>transmission</t>
  </si>
  <si>
    <t>vin</t>
  </si>
  <si>
    <t>state</t>
  </si>
  <si>
    <t>condition</t>
  </si>
  <si>
    <t>odometer</t>
  </si>
  <si>
    <t>color</t>
  </si>
  <si>
    <t>interior</t>
  </si>
  <si>
    <t>seller</t>
  </si>
  <si>
    <t>mmr</t>
  </si>
  <si>
    <t>sellingprice</t>
  </si>
  <si>
    <t>saledate</t>
  </si>
  <si>
    <t>saleday</t>
  </si>
  <si>
    <t>Acura</t>
  </si>
  <si>
    <t>Ilx</t>
  </si>
  <si>
    <t>Technology Package</t>
  </si>
  <si>
    <t>Sedan</t>
  </si>
  <si>
    <t>automatic</t>
  </si>
  <si>
    <t>19VDE1F70EE008913</t>
  </si>
  <si>
    <t>CA</t>
  </si>
  <si>
    <t>Gray</t>
  </si>
  <si>
    <t>Black</t>
  </si>
  <si>
    <t>american honda motor company</t>
  </si>
  <si>
    <t>Thursday</t>
  </si>
  <si>
    <t>Mdx</t>
  </si>
  <si>
    <t>Advance and Entertainment Packages</t>
  </si>
  <si>
    <t>Suv</t>
  </si>
  <si>
    <t>5FRYD3H83EB011004</t>
  </si>
  <si>
    <t>White</t>
  </si>
  <si>
    <t>onemain rem/m&amp;m auto traders</t>
  </si>
  <si>
    <t>Base</t>
  </si>
  <si>
    <t>19VDE1F38EE011281</t>
  </si>
  <si>
    <t>Silver</t>
  </si>
  <si>
    <t>Audi</t>
  </si>
  <si>
    <t>A6</t>
  </si>
  <si>
    <t>3.0T Prestige quattro</t>
  </si>
  <si>
    <t>WAUHGAFC0EN062916</t>
  </si>
  <si>
    <t>desert auto trade</t>
  </si>
  <si>
    <t>Tuesday</t>
  </si>
  <si>
    <t>A4</t>
  </si>
  <si>
    <t>2.0T Premium Plus quattro</t>
  </si>
  <si>
    <t>WAUFFAFL3EN030343</t>
  </si>
  <si>
    <t>audi mission viejo</t>
  </si>
  <si>
    <t>S5</t>
  </si>
  <si>
    <t>Premium Plus quattro</t>
  </si>
  <si>
    <t>Coupe</t>
  </si>
  <si>
    <t>WAUCGAFRXEA001689</t>
  </si>
  <si>
    <t>fratelli investment group</t>
  </si>
  <si>
    <t>Tts</t>
  </si>
  <si>
    <t>quattro</t>
  </si>
  <si>
    <t>TRUB1AFK9E1007640</t>
  </si>
  <si>
    <t>Q5</t>
  </si>
  <si>
    <t>WA1LFAFPXEA085074</t>
  </si>
  <si>
    <t>audi north scottsdale</t>
  </si>
  <si>
    <t>A3</t>
  </si>
  <si>
    <t>1.8 TFSI Premium</t>
  </si>
  <si>
    <t>WAUACGFF7F1002327</t>
  </si>
  <si>
    <t>WAUACGFF1F1002467</t>
  </si>
  <si>
    <t>WAUACGFF6F1029938</t>
  </si>
  <si>
    <t>enterprise vehicle exchange / tra / rental / tulsa</t>
  </si>
  <si>
    <t>A8</t>
  </si>
  <si>
    <t>L 3.0T quattro</t>
  </si>
  <si>
    <t>WAURGAFD8EN003111</t>
  </si>
  <si>
    <t>audi west covina</t>
  </si>
  <si>
    <t>Sq5</t>
  </si>
  <si>
    <t>3.0T Premium Plus quattro</t>
  </si>
  <si>
    <t>WA1CGAFP4EA030312</t>
  </si>
  <si>
    <t>audi of downtown l a</t>
  </si>
  <si>
    <t>Bmw</t>
  </si>
  <si>
    <t>6 Series Gran Coupe</t>
  </si>
  <si>
    <t>650i</t>
  </si>
  <si>
    <t>WBA6B2C53ED128866</t>
  </si>
  <si>
    <t>financial services remarketing (lease)</t>
  </si>
  <si>
    <t>4 Series</t>
  </si>
  <si>
    <t>428i SULEV</t>
  </si>
  <si>
    <t>WBA3N7C55EF719079</t>
  </si>
  <si>
    <t>street smartz auto sales corporation</t>
  </si>
  <si>
    <t>M5</t>
  </si>
  <si>
    <t>WBSFV9C51ED593089</t>
  </si>
  <si>
    <t>the hertz corporation</t>
  </si>
  <si>
    <t>Wednesday</t>
  </si>
  <si>
    <t>6 Series</t>
  </si>
  <si>
    <t>Convertible</t>
  </si>
  <si>
    <t>WBAYP9C53ED169260</t>
  </si>
  <si>
    <t>WBA6B2C51ED129563</t>
  </si>
  <si>
    <t>WBAYP9C53ED169288</t>
  </si>
  <si>
    <t>WBSFV9C51ED097712</t>
  </si>
  <si>
    <t>WBA6B2C57ED129731</t>
  </si>
  <si>
    <t>X6</t>
  </si>
  <si>
    <t>xDrive35i</t>
  </si>
  <si>
    <t>5UXFG2C53E0H11080</t>
  </si>
  <si>
    <t>X1</t>
  </si>
  <si>
    <t>sDrive28i</t>
  </si>
  <si>
    <t>WBAVM1C53EVW47779</t>
  </si>
  <si>
    <t>WBSFV9C54ED593085</t>
  </si>
  <si>
    <t>WBAYP9C59ED169280</t>
  </si>
  <si>
    <t>X5</t>
  </si>
  <si>
    <t>5UXKR0C54E0K49204</t>
  </si>
  <si>
    <t>WBSFV9C55ED593080</t>
  </si>
  <si>
    <t>WBAYP9C50ED169281</t>
  </si>
  <si>
    <t>WBAYP9C57ED169262</t>
  </si>
  <si>
    <t>WBAYP9C55ED169261</t>
  </si>
  <si>
    <t>WBSFV9C56ED593069</t>
  </si>
  <si>
    <t>3 Series</t>
  </si>
  <si>
    <t>328i SULEV</t>
  </si>
  <si>
    <t>WBA3C1C51EK116351</t>
  </si>
  <si>
    <t>WBA3C1C58EK106688</t>
  </si>
  <si>
    <t>5 Series</t>
  </si>
  <si>
    <t>535d</t>
  </si>
  <si>
    <t>WBAXA5C52ED689665</t>
  </si>
  <si>
    <t>528i</t>
  </si>
  <si>
    <t>WBA5A5C51ED501631</t>
  </si>
  <si>
    <t>Buick</t>
  </si>
  <si>
    <t>Enclave</t>
  </si>
  <si>
    <t>Leather Group</t>
  </si>
  <si>
    <t>5GAKRBKD2EJ294045</t>
  </si>
  <si>
    <t>Cadillac</t>
  </si>
  <si>
    <t>Srx</t>
  </si>
  <si>
    <t>Luxury</t>
  </si>
  <si>
    <t>3GYFNBE32ES536307</t>
  </si>
  <si>
    <t>lease plan usa</t>
  </si>
  <si>
    <t>Elr</t>
  </si>
  <si>
    <t>1G6RR1E48EU601450</t>
  </si>
  <si>
    <t>rogue cu</t>
  </si>
  <si>
    <t>Chevrolet</t>
  </si>
  <si>
    <t>Camaro</t>
  </si>
  <si>
    <t>LS</t>
  </si>
  <si>
    <t>manual</t>
  </si>
  <si>
    <t>2G1FE1E34E9190976</t>
  </si>
  <si>
    <t>tdaf remarketing</t>
  </si>
  <si>
    <t>Cruze</t>
  </si>
  <si>
    <t>1LT</t>
  </si>
  <si>
    <t>1G1PC5SB2E7128460</t>
  </si>
  <si>
    <t>LT</t>
  </si>
  <si>
    <t>2G1FB1E31E9248986</t>
  </si>
  <si>
    <t>Red</t>
  </si>
  <si>
    <t>2LT</t>
  </si>
  <si>
    <t>1G1PE5SB3E7406616</t>
  </si>
  <si>
    <t>1G1PE5SB5E7115504</t>
  </si>
  <si>
    <t>avis rac/san leandro</t>
  </si>
  <si>
    <t>Silverado 1500</t>
  </si>
  <si>
    <t>Crew Cab</t>
  </si>
  <si>
    <t>3GCPCRECXEG363552</t>
  </si>
  <si>
    <t>repo remarketing/visterra credit union</t>
  </si>
  <si>
    <t>1G1PE5SB4E7109323</t>
  </si>
  <si>
    <t>2G1FB1E35E9238302</t>
  </si>
  <si>
    <t>midway hfc fleet/ars</t>
  </si>
  <si>
    <t>Suburban</t>
  </si>
  <si>
    <t>LTZ</t>
  </si>
  <si>
    <t>1GNSKKKC3FR187901</t>
  </si>
  <si>
    <t>2G1FB1E35E9238493</t>
  </si>
  <si>
    <t>2G1FB1E33E9211499</t>
  </si>
  <si>
    <t>1G1PE5SB8E7420706</t>
  </si>
  <si>
    <t>3GCUKREC9EG452373</t>
  </si>
  <si>
    <t>ars/acme auto leasing</t>
  </si>
  <si>
    <t>1G1PC5SB2E7105471</t>
  </si>
  <si>
    <t>enterprise vehicle exchange/orange</t>
  </si>
  <si>
    <t>2G1FA1E39E9134494</t>
  </si>
  <si>
    <t>wells fargo dealer services</t>
  </si>
  <si>
    <t>2G1FB1E37E9270877</t>
  </si>
  <si>
    <t>Malibu</t>
  </si>
  <si>
    <t>1G11D5SL6FU106427</t>
  </si>
  <si>
    <t>1G1PE5SB0E7134820</t>
  </si>
  <si>
    <t>Blue</t>
  </si>
  <si>
    <t>avis corporation</t>
  </si>
  <si>
    <t>2G1FB3D37E9218789</t>
  </si>
  <si>
    <t>d/m auto sales inc</t>
  </si>
  <si>
    <t>1G1PE5SB6E7118217</t>
  </si>
  <si>
    <t>1G1PE5SB4E7102937</t>
  </si>
  <si>
    <t>Brown</t>
  </si>
  <si>
    <t>Impala</t>
  </si>
  <si>
    <t>2G1165S30F9103921</t>
  </si>
  <si>
    <t>Ford</t>
  </si>
  <si>
    <t>Fusion</t>
  </si>
  <si>
    <t>SE</t>
  </si>
  <si>
    <t>3FA6P0H7XFR151689</t>
  </si>
  <si>
    <t>3FA6P0HDXFR145753</t>
  </si>
  <si>
    <t>Beige</t>
  </si>
  <si>
    <t>Hyundai</t>
  </si>
  <si>
    <t>Elantra</t>
  </si>
  <si>
    <t>5NPDH4AE2FH565969</t>
  </si>
  <si>
    <t>5NPDH4AE8FH565992</t>
  </si>
  <si>
    <t>Santa Fe</t>
  </si>
  <si>
    <t>Limited</t>
  </si>
  <si>
    <t>KM8SRDHF0DU002596</t>
  </si>
  <si>
    <t>hyundai buybacks</t>
  </si>
  <si>
    <t>Genesis</t>
  </si>
  <si>
    <t>5.0 R-Spec</t>
  </si>
  <si>
    <t>KMHGC4DH7DU220016</t>
  </si>
  <si>
    <t>hyundai motor america/co car</t>
  </si>
  <si>
    <t>GLS</t>
  </si>
  <si>
    <t>KMHDH4AE9DU490167</t>
  </si>
  <si>
    <t>hyundai motor finance</t>
  </si>
  <si>
    <t>KM8SRDHF8DU000644</t>
  </si>
  <si>
    <t>5NPDH4AE5DH342001</t>
  </si>
  <si>
    <t>5NPDH4AE9DH235016</t>
  </si>
  <si>
    <t>Sonata Hybrid</t>
  </si>
  <si>
    <t>KMHEC4A46DA091860</t>
  </si>
  <si>
    <t>Sport</t>
  </si>
  <si>
    <t>5XYZTDLB9DG057378</t>
  </si>
  <si>
    <t>KM8SR4HF7DU008024</t>
  </si>
  <si>
    <t>KMHEC4A48DA092248</t>
  </si>
  <si>
    <t>5NPDH4AE8DH345667</t>
  </si>
  <si>
    <t>Gold</t>
  </si>
  <si>
    <t>Sport 2.0T</t>
  </si>
  <si>
    <t>5XYZW3LA5DG114166</t>
  </si>
  <si>
    <t>Sonata</t>
  </si>
  <si>
    <t>5NPEC4AC2DH608074</t>
  </si>
  <si>
    <t>Burgundy</t>
  </si>
  <si>
    <t>Veloster</t>
  </si>
  <si>
    <t>Turbo</t>
  </si>
  <si>
    <t>Hatchback</t>
  </si>
  <si>
    <t>KMHTC6AE4DU168333</t>
  </si>
  <si>
    <t>Elantra Coupe</t>
  </si>
  <si>
    <t>KMHDH6AE8DU000216</t>
  </si>
  <si>
    <t>KMHEC4A41DA089739</t>
  </si>
  <si>
    <t>Accent</t>
  </si>
  <si>
    <t>GS</t>
  </si>
  <si>
    <t>KMHCT5AE4DU128991</t>
  </si>
  <si>
    <t>5NPDH4AE4DH388614</t>
  </si>
  <si>
    <t>Azera</t>
  </si>
  <si>
    <t>KMHFG4JGXDA201053</t>
  </si>
  <si>
    <t>5XYZWDLA8DG094937</t>
  </si>
  <si>
    <t>5NPDH4AE0DH320214</t>
  </si>
  <si>
    <t>fox rent a car tra</t>
  </si>
  <si>
    <t>KMHEC4A46DA091339</t>
  </si>
  <si>
    <t>Tan</t>
  </si>
  <si>
    <t>Tucson</t>
  </si>
  <si>
    <t>KM8JU3AC4DU587297</t>
  </si>
  <si>
    <t>KMHDH4AE2DU972303</t>
  </si>
  <si>
    <t>KMHFG4JG8DA325905</t>
  </si>
  <si>
    <t>KMHEC4A49DA092260</t>
  </si>
  <si>
    <t>KMHFH4JG7DA330493</t>
  </si>
  <si>
    <t>KMHGC4DH8DU258211</t>
  </si>
  <si>
    <t>Equus</t>
  </si>
  <si>
    <t>Ultimate</t>
  </si>
  <si>
    <t>KMHGH4JH3DU064689</t>
  </si>
  <si>
    <t>5NPDH4AE7DH327127</t>
  </si>
  <si>
    <t>KMHDH4AE7DU946909</t>
  </si>
  <si>
    <t>KMHTC6AE3DU146243</t>
  </si>
  <si>
    <t>KMHEC4A4XDA091084</t>
  </si>
  <si>
    <t>5NPEB4AC3DH722331</t>
  </si>
  <si>
    <t>KMHFH4JG5DA257916</t>
  </si>
  <si>
    <t>KMHEC4A4XDA091246</t>
  </si>
  <si>
    <t>KMHCT4AE6DU523099</t>
  </si>
  <si>
    <t>KMHCU5AE2DU138898</t>
  </si>
  <si>
    <t>KMHGC4DD2DU221961</t>
  </si>
  <si>
    <t>5XYZU3LAXDG105372</t>
  </si>
  <si>
    <t>KMHDH4AE4DU797598</t>
  </si>
  <si>
    <t>KMHGC4DD0DU214801</t>
  </si>
  <si>
    <t>remarketing by ge/film vehicle services</t>
  </si>
  <si>
    <t>5NPDH4AE9DH243696</t>
  </si>
  <si>
    <t>5XYZWDLA5DG083054</t>
  </si>
  <si>
    <t>KMHCU5AE3DU079747</t>
  </si>
  <si>
    <t>KMHEC4A46DA093060</t>
  </si>
  <si>
    <t>5NPEB4ACXDH740633</t>
  </si>
  <si>
    <t>KMHTC6AD7DU089181</t>
  </si>
  <si>
    <t>Yellow</t>
  </si>
  <si>
    <t>5NPDH4AE7DH345708</t>
  </si>
  <si>
    <t>5NPEB4AC2DH745910</t>
  </si>
  <si>
    <t>KM8SR4HF1DU031590</t>
  </si>
  <si>
    <t>Genesis Coupe</t>
  </si>
  <si>
    <t>3.8 Track</t>
  </si>
  <si>
    <t>KMHHU6KJ0DU110296</t>
  </si>
  <si>
    <t>KMHEC4A48DA091908</t>
  </si>
  <si>
    <t>KMHGC4DH6DU220492</t>
  </si>
  <si>
    <t>KM8JU3AC6DU590752</t>
  </si>
  <si>
    <t>KMHEC4A46DA099621</t>
  </si>
  <si>
    <t>KMHDH4AEXDU731797</t>
  </si>
  <si>
    <t>KMHEC4A40DA092843</t>
  </si>
  <si>
    <t>5NPDH4AE7DH225536</t>
  </si>
  <si>
    <t>KMHGC4DD7DU226203</t>
  </si>
  <si>
    <t>5XYZU3LA5DG079070</t>
  </si>
  <si>
    <t>5NPEC4AC9DH600084</t>
  </si>
  <si>
    <t>5NPDH4AEXDH317398</t>
  </si>
  <si>
    <t>5NPDH4AE4DH327134</t>
  </si>
  <si>
    <t>5NPDH4AE0DH335103</t>
  </si>
  <si>
    <t>KMHCT4AE3DU421257</t>
  </si>
  <si>
    <t>dtg operations inc</t>
  </si>
  <si>
    <t>5NPEB4AC9DH760050</t>
  </si>
  <si>
    <t>5NPDH4AE0DH344075</t>
  </si>
  <si>
    <t>5NPDH4AE8DH375848</t>
  </si>
  <si>
    <t>5NPEB4AC7DH680813</t>
  </si>
  <si>
    <t>5NPDH4AE5DH363852</t>
  </si>
  <si>
    <t>5NPEB4ACXDH745962</t>
  </si>
  <si>
    <t>5NPEB4AC3DH734477</t>
  </si>
  <si>
    <t>5NPEB4AC5DH682009</t>
  </si>
  <si>
    <t>hertz/tra</t>
  </si>
  <si>
    <t>KMHCT4AE4DU422188</t>
  </si>
  <si>
    <t>5NPDH4AE0DH356789</t>
  </si>
  <si>
    <t>aaero sweet company</t>
  </si>
  <si>
    <t>5NPEB4AC8DH687043</t>
  </si>
  <si>
    <t>skyhigh remarketing inc</t>
  </si>
  <si>
    <t>5NPDH4AE4FH552981</t>
  </si>
  <si>
    <t>ag leaseplan</t>
  </si>
  <si>
    <t>5NPDH4AE8DH348469</t>
  </si>
  <si>
    <t>5NPEB4AC9DH691294</t>
  </si>
  <si>
    <t>5NPEB4AC4DH712021</t>
  </si>
  <si>
    <t>5NPEB4AC5DH771160</t>
  </si>
  <si>
    <t>gm financial</t>
  </si>
  <si>
    <t>5NPDH4AE0DH358462</t>
  </si>
  <si>
    <t>5NPEB4AC5DH743407</t>
  </si>
  <si>
    <t>5NPEB4AC6DH743092</t>
  </si>
  <si>
    <t>5NPDH4AE0FH574105</t>
  </si>
  <si>
    <t>5NPDH4AE4DH385955</t>
  </si>
  <si>
    <t>5NPEB4ACXDH744455</t>
  </si>
  <si>
    <t>5NPEB4ACXDH752037</t>
  </si>
  <si>
    <t>5NPEB4AC5DH745416</t>
  </si>
  <si>
    <t>enterprise veh exchange/rental</t>
  </si>
  <si>
    <t>5NPDH4AE1DH345719</t>
  </si>
  <si>
    <t>5NPDH4AE2DH375957</t>
  </si>
  <si>
    <t>KMHCT5AE8DU091850</t>
  </si>
  <si>
    <t>Green</t>
  </si>
  <si>
    <t>jpmorgan chase bank n.a.</t>
  </si>
  <si>
    <t>5NPEB4AC5DH648748</t>
  </si>
  <si>
    <t>KMHCT4AE9DU436426</t>
  </si>
  <si>
    <t>5NPDH4AE7DH339679</t>
  </si>
  <si>
    <t>KMHGH4JH5DU065956</t>
  </si>
  <si>
    <t>5NPEB4AC1DH733036</t>
  </si>
  <si>
    <t>5NPEB4AC1DH680502</t>
  </si>
  <si>
    <t>5XYZTDLB2DG045704</t>
  </si>
  <si>
    <t>5NPEC4AC6DH513954</t>
  </si>
  <si>
    <t>Signature</t>
  </si>
  <si>
    <t>KMHGH4JH9DU063479</t>
  </si>
  <si>
    <t>5NPDH4AEXDH303629</t>
  </si>
  <si>
    <t>5NPDH4AE2FH566023</t>
  </si>
  <si>
    <t>KMHDH6AE8DU017422</t>
  </si>
  <si>
    <t>KMHEC4A40DA089523</t>
  </si>
  <si>
    <t>5NPEB4AC0DH721038</t>
  </si>
  <si>
    <t>5NPDH4AE2DH264292</t>
  </si>
  <si>
    <t>5NPEB4AC7DH636875</t>
  </si>
  <si>
    <t>5NPEC4AB6DH539798</t>
  </si>
  <si>
    <t>Infiniti</t>
  </si>
  <si>
    <t>G Sedan</t>
  </si>
  <si>
    <t>G37 Journey</t>
  </si>
  <si>
    <t>JN1CV6APXDM713003</t>
  </si>
  <si>
    <t>nissan infiniti lt</t>
  </si>
  <si>
    <t>JN1CV6AP3DM711108</t>
  </si>
  <si>
    <t>G Coupe</t>
  </si>
  <si>
    <t>G37 Sport</t>
  </si>
  <si>
    <t>JN1CV6EK1DM921866</t>
  </si>
  <si>
    <t>JN1CV6AP5DM713782</t>
  </si>
  <si>
    <t>JN1CV6EK0DM921180</t>
  </si>
  <si>
    <t>G37x</t>
  </si>
  <si>
    <t>JN1CV6AR7DM351570</t>
  </si>
  <si>
    <t>JN1CV6AP3DM720746</t>
  </si>
  <si>
    <t>JN1CV6AP4DM712848</t>
  </si>
  <si>
    <t>infiniti financial services</t>
  </si>
  <si>
    <t>JN1CV6APXDM715446</t>
  </si>
  <si>
    <t>JN1CV6AP5DM715158</t>
  </si>
  <si>
    <t>JN1CV6AP0DM712524</t>
  </si>
  <si>
    <t>JN1CV6APXDM712482</t>
  </si>
  <si>
    <t>JN1CV6EK9DM921386</t>
  </si>
  <si>
    <t>JN1CV6APXDM717651</t>
  </si>
  <si>
    <t>JN1CV6AP0DM714760</t>
  </si>
  <si>
    <t>JN1CV6AP2DM714338</t>
  </si>
  <si>
    <t>JN1CV6AP5DM715922</t>
  </si>
  <si>
    <t>Jx</t>
  </si>
  <si>
    <t>JX35</t>
  </si>
  <si>
    <t>5N1AL0MM4DC337764</t>
  </si>
  <si>
    <t>JN1CV6EL5DM980105</t>
  </si>
  <si>
    <t>JN1CV6AP1DM301617</t>
  </si>
  <si>
    <t>JN1CV6AP9DM300540</t>
  </si>
  <si>
    <t>JN1CV6EK4DM921604</t>
  </si>
  <si>
    <t>JN1CV6AP3DM726059</t>
  </si>
  <si>
    <t>JN1CV6APXDM714541</t>
  </si>
  <si>
    <t>JN1CV6EK8DM920763</t>
  </si>
  <si>
    <t>JN1CV6EK8DM900321</t>
  </si>
  <si>
    <t>JN1CV6AP5DM714009</t>
  </si>
  <si>
    <t>JN1CV6AP5DM713958</t>
  </si>
  <si>
    <t>Fx</t>
  </si>
  <si>
    <t>FX37</t>
  </si>
  <si>
    <t>JN8CS1MU2DM140046</t>
  </si>
  <si>
    <t>JN1CV6EK0DM900927</t>
  </si>
  <si>
    <t>JN1CV6AP9DM712232</t>
  </si>
  <si>
    <t>JN1CV6EK0DM920093</t>
  </si>
  <si>
    <t>JN1CV6AP0DM725418</t>
  </si>
  <si>
    <t>JN1CV6AP2DM714887</t>
  </si>
  <si>
    <t>JN1CV6AP2DM712055</t>
  </si>
  <si>
    <t>JN1CV6AP5DM713801</t>
  </si>
  <si>
    <t>JN1CV6AP2DM712170</t>
  </si>
  <si>
    <t>JN1CV6APXDM712417</t>
  </si>
  <si>
    <t>JN1CV6AP4DM303216</t>
  </si>
  <si>
    <t>JN1CV6AP9DM300442</t>
  </si>
  <si>
    <t>JN1CV6APXDM712403</t>
  </si>
  <si>
    <t>JN1CV6AP8DM717292</t>
  </si>
  <si>
    <t>JN1CV6AP6DM714973</t>
  </si>
  <si>
    <t>JN1CV6AP9DM719505</t>
  </si>
  <si>
    <t>JN1CV6AP8DM711170</t>
  </si>
  <si>
    <t>JN1CV6EK3DM921383</t>
  </si>
  <si>
    <t>JN1CV6EKXDM920134</t>
  </si>
  <si>
    <t>JN1CV6AP4DM301420</t>
  </si>
  <si>
    <t>JN1CV6AP0DM711499</t>
  </si>
  <si>
    <t>JN1CV6AP1DM712628</t>
  </si>
  <si>
    <t>JN1CV6AP8DM716627</t>
  </si>
  <si>
    <t>JN1CV6AP3DM713263</t>
  </si>
  <si>
    <t>JN1CV6AP6DM711376</t>
  </si>
  <si>
    <t>JN1CV6AP7DM711712</t>
  </si>
  <si>
    <t>JN1CV6EK2DM920760</t>
  </si>
  <si>
    <t>JN1CV6APXDM714507</t>
  </si>
  <si>
    <t>JN1CV6AP0DM713933</t>
  </si>
  <si>
    <t>JN1CV6AP4DM302678</t>
  </si>
  <si>
    <t>JN1CV6AP3DM301392</t>
  </si>
  <si>
    <t>JN1CV6EK5DM920106</t>
  </si>
  <si>
    <t>JN1CV6APXDM714605</t>
  </si>
  <si>
    <t>JN1CV6AP7DM713816</t>
  </si>
  <si>
    <t>JN1CV6AP1DM712273</t>
  </si>
  <si>
    <t>JN1CV6AP5DM721977</t>
  </si>
  <si>
    <t>JN1CV6AP3DM710802</t>
  </si>
  <si>
    <t>JN1CV6AP4DM715250</t>
  </si>
  <si>
    <t>JN1CV6AP0DM714516</t>
  </si>
  <si>
    <t>JN1CV6APXDM300417</t>
  </si>
  <si>
    <t>JN1CV6AP3DM714428</t>
  </si>
  <si>
    <t>JN1CV6EK7DM921385</t>
  </si>
  <si>
    <t>JN1CV6AP2DM714792</t>
  </si>
  <si>
    <t>JN1CV6EK3DM920766</t>
  </si>
  <si>
    <t>JN1CV6AP1DM719644</t>
  </si>
  <si>
    <t>JN1CV6APXDM710375</t>
  </si>
  <si>
    <t>JN1CV6AP8DM301100</t>
  </si>
  <si>
    <t>JN1CV6AP8DM712058</t>
  </si>
  <si>
    <t>JN1CV6EKXDM921560</t>
  </si>
  <si>
    <t>JN1CV6AP1DM714069</t>
  </si>
  <si>
    <t>JN1CV6EK5DM900664</t>
  </si>
  <si>
    <t>JN1CV6AP9DM713509</t>
  </si>
  <si>
    <t>JN1CV6AP6DM715699</t>
  </si>
  <si>
    <t>JN1CV6AP9DM716121</t>
  </si>
  <si>
    <t>JN1CV6AP5DM720571</t>
  </si>
  <si>
    <t>JN1CV6AP7DM301475</t>
  </si>
  <si>
    <t>JN1CV6AP1DM711625</t>
  </si>
  <si>
    <t>JN1CV6AP1DM716758</t>
  </si>
  <si>
    <t>JN1CV6AP0DM300670</t>
  </si>
  <si>
    <t>JN1CV6APXDM714264</t>
  </si>
  <si>
    <t>JN1CV6AP3DM719922</t>
  </si>
  <si>
    <t>JN1CV6AP6DM712365</t>
  </si>
  <si>
    <t>JN1CV6AP5DM711210</t>
  </si>
  <si>
    <t>JN1CV6AP0DM711549</t>
  </si>
  <si>
    <t>JN1CV6AP3DM710234</t>
  </si>
  <si>
    <t>JN1CV6AP3DM710394</t>
  </si>
  <si>
    <t>JN1CV6AP7DM710365</t>
  </si>
  <si>
    <t>JN1CV6APXDM714880</t>
  </si>
  <si>
    <t>JN1CV6AP3DM713554</t>
  </si>
  <si>
    <t>JN1CV6AP5DM713250</t>
  </si>
  <si>
    <t>JN1CV6AP7DM716733</t>
  </si>
  <si>
    <t>JN1CV6AP4DM712607</t>
  </si>
  <si>
    <t>JN1CV6EK5DM920784</t>
  </si>
  <si>
    <t>JN1CV6EK5DM920672</t>
  </si>
  <si>
    <t>JN1CV6AP1DM711334</t>
  </si>
  <si>
    <t>JN1CV6AP4DM714969</t>
  </si>
  <si>
    <t>JN1CV6AP9DM714417</t>
  </si>
  <si>
    <t>JN1CV6AP8DM715803</t>
  </si>
  <si>
    <t>JN1CV6AP8DM712593</t>
  </si>
  <si>
    <t>JN1CV6AP3DM713666</t>
  </si>
  <si>
    <t>JN1CV6AP3DM712825</t>
  </si>
  <si>
    <t>JN1CV6AP2DM712928</t>
  </si>
  <si>
    <t>JN1CV6AP2DM712931</t>
  </si>
  <si>
    <t>JN1CV6AP9DM712909</t>
  </si>
  <si>
    <t>JN1CV6AR0DM750465</t>
  </si>
  <si>
    <t>JN1CV6AR5DM750574</t>
  </si>
  <si>
    <t>M</t>
  </si>
  <si>
    <t>M37</t>
  </si>
  <si>
    <t>JN1BY1AP3DM514252</t>
  </si>
  <si>
    <t>nissan north america inc.</t>
  </si>
  <si>
    <t>JN1CV6ARXDM750005</t>
  </si>
  <si>
    <t>JN1CV6AP6DM712706</t>
  </si>
  <si>
    <t>JN1CV6AP1DM300564</t>
  </si>
  <si>
    <t>JN1CV6EK1DM920250</t>
  </si>
  <si>
    <t>JN1BY1AP2DM514632</t>
  </si>
  <si>
    <t>JN1BY1AP6DM514665</t>
  </si>
  <si>
    <t>JN1CV6AP8DM716708</t>
  </si>
  <si>
    <t>JN1CV6APXDM712658</t>
  </si>
  <si>
    <t>JN1CV6AP5DM714785</t>
  </si>
  <si>
    <t>JN1CV6AP9DM715258</t>
  </si>
  <si>
    <t>JN8CS1MW7DM174050</t>
  </si>
  <si>
    <t>JN1CV6AP2DM712489</t>
  </si>
  <si>
    <t>JN1CV6AP0DM712653</t>
  </si>
  <si>
    <t>JN1CV6AR5DM350059</t>
  </si>
  <si>
    <t>JN1CV6EK2DM923402</t>
  </si>
  <si>
    <t>JN1CV6AP9DM711176</t>
  </si>
  <si>
    <t>JN1BY1AP5DM514530</t>
  </si>
  <si>
    <t>Jaguar</t>
  </si>
  <si>
    <t>Xf</t>
  </si>
  <si>
    <t>SAJWA0ES1DPS79829</t>
  </si>
  <si>
    <t>jaguar north america llc</t>
  </si>
  <si>
    <t>SAJWA0ES4DPS64029</t>
  </si>
  <si>
    <t>Jeep</t>
  </si>
  <si>
    <t>Wrangler</t>
  </si>
  <si>
    <t>Unlimited Rubicon</t>
  </si>
  <si>
    <t>1C4BJWFG4DL585036</t>
  </si>
  <si>
    <t>clear view systems</t>
  </si>
  <si>
    <t>Grand Cherokee</t>
  </si>
  <si>
    <t>1C4RJEBG1DC636460</t>
  </si>
  <si>
    <t>Compass</t>
  </si>
  <si>
    <t>Latitude</t>
  </si>
  <si>
    <t>1C4NJCEB2DD229860</t>
  </si>
  <si>
    <t>chrysler capital</t>
  </si>
  <si>
    <t>1C4NJCEB7DD255239</t>
  </si>
  <si>
    <t>exeter finance corp</t>
  </si>
  <si>
    <t>Unlimited Sahara</t>
  </si>
  <si>
    <t>1C4HJWEG8DL539625</t>
  </si>
  <si>
    <t>Unlimited Sport</t>
  </si>
  <si>
    <t>1C4HJWDG9DL604791</t>
  </si>
  <si>
    <t>1C4HJWDG3DL620646</t>
  </si>
  <si>
    <t>Kia</t>
  </si>
  <si>
    <t>Optima</t>
  </si>
  <si>
    <t>LX</t>
  </si>
  <si>
    <t>5XXGM4A73FG353538</t>
  </si>
  <si>
    <t>kia motors finance</t>
  </si>
  <si>
    <t>Sorento</t>
  </si>
  <si>
    <t>5XYKT3A62FG579841</t>
  </si>
  <si>
    <t>5XXGM4A72DG248132</t>
  </si>
  <si>
    <t>Soul</t>
  </si>
  <si>
    <t>Wagon</t>
  </si>
  <si>
    <t>KNDJT2A54D7539154</t>
  </si>
  <si>
    <t>SX</t>
  </si>
  <si>
    <t>5XXGR4A68DG228640</t>
  </si>
  <si>
    <t>Rio</t>
  </si>
  <si>
    <t>KNADN5A32D6147221</t>
  </si>
  <si>
    <t>+</t>
  </si>
  <si>
    <t>KNDJT2A64D7494239</t>
  </si>
  <si>
    <t>KNADM5A38D6292461</t>
  </si>
  <si>
    <t>5XXGM4A70DG226694</t>
  </si>
  <si>
    <t>KNAGM4A75D5442817</t>
  </si>
  <si>
    <t>5XXGR4A61DG178423</t>
  </si>
  <si>
    <t>Forte</t>
  </si>
  <si>
    <t>EX</t>
  </si>
  <si>
    <t>KNAFU4A20D5658140</t>
  </si>
  <si>
    <t>5XYKTCA69FG566472</t>
  </si>
  <si>
    <t>kia motors america  inc</t>
  </si>
  <si>
    <t>5XYKTCA69FG561319</t>
  </si>
  <si>
    <t>5XYKTCA66FG561407</t>
  </si>
  <si>
    <t>5XYKTCA60FG565226</t>
  </si>
  <si>
    <t>5XYKTCA68FG559481</t>
  </si>
  <si>
    <t>5XYKTCA67FG570973</t>
  </si>
  <si>
    <t>5XYKTCA63FG570727</t>
  </si>
  <si>
    <t>5XYKTCA6XFG560888</t>
  </si>
  <si>
    <t>5XYKTCA68FG570979</t>
  </si>
  <si>
    <t>5XYKTCA65FG571619</t>
  </si>
  <si>
    <t>5XYKTCA64FG570963</t>
  </si>
  <si>
    <t>5XYKTCA60FG563086</t>
  </si>
  <si>
    <t>5XYKTCA67FG567068</t>
  </si>
  <si>
    <t>5XYKTCA64FG570672</t>
  </si>
  <si>
    <t>5XYKTCA60FG570829</t>
  </si>
  <si>
    <t>5XYKTCA61FG560973</t>
  </si>
  <si>
    <t>Purple</t>
  </si>
  <si>
    <t>5XYKTCA61FG566806</t>
  </si>
  <si>
    <t>EX Hybrid</t>
  </si>
  <si>
    <t>KNAGM4AD1D5057809</t>
  </si>
  <si>
    <t>KNAGM4AD9D5054379</t>
  </si>
  <si>
    <t>KNAGM4AD6D5055554</t>
  </si>
  <si>
    <t>5XYKTDA2XDG322880</t>
  </si>
  <si>
    <t>kia motors america  inc -lemon law buybacks</t>
  </si>
  <si>
    <t>KNAGM4AD4D5057867</t>
  </si>
  <si>
    <t>KNADM4A35D6233930</t>
  </si>
  <si>
    <t>KNAGM4AD0D5055811</t>
  </si>
  <si>
    <t>KNAGM4AD1D5055882</t>
  </si>
  <si>
    <t>KNAGM4AD0D5057798</t>
  </si>
  <si>
    <t>KNAGM4AD8D5056639</t>
  </si>
  <si>
    <t>Sportage</t>
  </si>
  <si>
    <t>KNDPB3A28D7450308</t>
  </si>
  <si>
    <t>5XYKU3A23DG334585</t>
  </si>
  <si>
    <t>kia of cerritos</t>
  </si>
  <si>
    <t>5XYKT4A22DG332853</t>
  </si>
  <si>
    <t>5XXGN4A7XDG106558</t>
  </si>
  <si>
    <t>KNDJT2A68D7570612</t>
  </si>
  <si>
    <t>dollar thrifty damage liquidation</t>
  </si>
  <si>
    <t>5XXGR4A65DG171118</t>
  </si>
  <si>
    <t>high bid trading co inc</t>
  </si>
  <si>
    <t>5XYKW4A26DG339716</t>
  </si>
  <si>
    <t>KNADM4A3XD6124671</t>
  </si>
  <si>
    <t>primeritus remarketing/oregon comm credit</t>
  </si>
  <si>
    <t>KNDPBCA25D7406217</t>
  </si>
  <si>
    <t>5XXGM4A7XDG238335</t>
  </si>
  <si>
    <t>5XXGM4A7XDG214617</t>
  </si>
  <si>
    <t>KNADM4A31D6173631</t>
  </si>
  <si>
    <t>KNAFT4A28D5738465</t>
  </si>
  <si>
    <t>KNADM4A34D6310898</t>
  </si>
  <si>
    <t>KNADN5A33D6283020</t>
  </si>
  <si>
    <t>5XXGR4A6XDG089207</t>
  </si>
  <si>
    <t>KNAFU4A22D5724414</t>
  </si>
  <si>
    <t>caprock auto remarketing</t>
  </si>
  <si>
    <t>KNDJT2A60D7538561</t>
  </si>
  <si>
    <t>KNADM4A36D6256603</t>
  </si>
  <si>
    <t>KNAFT4A26D5682378</t>
  </si>
  <si>
    <t>KNAFT4A2XD5718881</t>
  </si>
  <si>
    <t>5XXGR4A61DG171696</t>
  </si>
  <si>
    <t>KNADM4A3XD6113380</t>
  </si>
  <si>
    <t>K900</t>
  </si>
  <si>
    <t>KNALW4D42F6018633</t>
  </si>
  <si>
    <t>5XXGR4A64DG097254</t>
  </si>
  <si>
    <t>KNALW4D42F6019667</t>
  </si>
  <si>
    <t>Land Rover</t>
  </si>
  <si>
    <t>Range Rover Evoque</t>
  </si>
  <si>
    <t>Pure Plus</t>
  </si>
  <si>
    <t>SALVP2BG5DH781072</t>
  </si>
  <si>
    <t>mercedes benz of laguna niguel</t>
  </si>
  <si>
    <t>SALVP1BG7DH775994</t>
  </si>
  <si>
    <t>Lr4</t>
  </si>
  <si>
    <t>HSE LUX</t>
  </si>
  <si>
    <t>SALAK2D48DA693027</t>
  </si>
  <si>
    <t>land rover north america llc</t>
  </si>
  <si>
    <t>Pure Premium</t>
  </si>
  <si>
    <t>SALVR2BG6DH755364</t>
  </si>
  <si>
    <t>Range Rover Sport</t>
  </si>
  <si>
    <t>Supercharged Limited Edition</t>
  </si>
  <si>
    <t>SALSH2E49DA763586</t>
  </si>
  <si>
    <t>Lexus</t>
  </si>
  <si>
    <t>Rx 350</t>
  </si>
  <si>
    <t>2T2BK1BA8DC191589</t>
  </si>
  <si>
    <t>Es 350</t>
  </si>
  <si>
    <t>JTHBK1GG3D2061489</t>
  </si>
  <si>
    <t>Gs 350</t>
  </si>
  <si>
    <t>JTHBE1BL9D5002103</t>
  </si>
  <si>
    <t>lexus financial services</t>
  </si>
  <si>
    <t>JTHBE1BL4D5006057</t>
  </si>
  <si>
    <t>JTHBK1GG1D2049728</t>
  </si>
  <si>
    <t>mercedes benz of temecula</t>
  </si>
  <si>
    <t>JTHBE1BL4D5001280</t>
  </si>
  <si>
    <t>ubs wholesale</t>
  </si>
  <si>
    <t>2T2ZK1BA7FC155782</t>
  </si>
  <si>
    <t>Ls 460</t>
  </si>
  <si>
    <t>L</t>
  </si>
  <si>
    <t>JTHGL1EFXD5047925</t>
  </si>
  <si>
    <t>sunshine autos</t>
  </si>
  <si>
    <t>JTHBE1BL6D5006836</t>
  </si>
  <si>
    <t>JTHBE1BL4D5013929</t>
  </si>
  <si>
    <t>Lincoln</t>
  </si>
  <si>
    <t>Mkx</t>
  </si>
  <si>
    <t>2LMDJ8JK9DBL34528</t>
  </si>
  <si>
    <t>Mazda</t>
  </si>
  <si>
    <t>Mazda2</t>
  </si>
  <si>
    <t>Touring</t>
  </si>
  <si>
    <t>JM1DE1LZ0D0160159</t>
  </si>
  <si>
    <t>Mazda3</t>
  </si>
  <si>
    <t>i Touring</t>
  </si>
  <si>
    <t>JM1BL1VP7D1768022</t>
  </si>
  <si>
    <t>south bay hyundai</t>
  </si>
  <si>
    <t>Mazda5</t>
  </si>
  <si>
    <t>Minivan</t>
  </si>
  <si>
    <t>JM1CW2CL1D0150492</t>
  </si>
  <si>
    <t>i Sport</t>
  </si>
  <si>
    <t>JM1BL1UPXD1794194</t>
  </si>
  <si>
    <t>Cx-9</t>
  </si>
  <si>
    <t>JM3TB2CV0D0411079</t>
  </si>
  <si>
    <t>JM1CW2BL1D0154950</t>
  </si>
  <si>
    <t>JM1CW2BL6D0159321</t>
  </si>
  <si>
    <t>tycon enterprises</t>
  </si>
  <si>
    <t>JM1BL1UP7D1731716</t>
  </si>
  <si>
    <t>JM1CW2BL0D0149559</t>
  </si>
  <si>
    <t>i SV</t>
  </si>
  <si>
    <t>JM1BL1TG8D1728177</t>
  </si>
  <si>
    <t>california republic bank</t>
  </si>
  <si>
    <t>JM3TB2CA2D0403904</t>
  </si>
  <si>
    <t>JM1DE1KZ8D0152764</t>
  </si>
  <si>
    <t>JM1CW2CL5D0150799</t>
  </si>
  <si>
    <t>JM1CW2BL4D0152478</t>
  </si>
  <si>
    <t>Friday</t>
  </si>
  <si>
    <t>JM3TB3CV9D0410440</t>
  </si>
  <si>
    <t>JM3TB2CV8D0412139</t>
  </si>
  <si>
    <t>Mercedes-Benz</t>
  </si>
  <si>
    <t>C-Class</t>
  </si>
  <si>
    <t>C250 Sport</t>
  </si>
  <si>
    <t>WDDGF4HB0DR255362</t>
  </si>
  <si>
    <t>hoehn motors inc</t>
  </si>
  <si>
    <t>WDDGF4HB8DR256694</t>
  </si>
  <si>
    <t>Glk-Class</t>
  </si>
  <si>
    <t>GLK350</t>
  </si>
  <si>
    <t>WDCGG5HB6DF956724</t>
  </si>
  <si>
    <t>mercedes-benz usa</t>
  </si>
  <si>
    <t>Gl-Class</t>
  </si>
  <si>
    <t>GL450 4MATIC</t>
  </si>
  <si>
    <t>4JGDF7CE3DA182451</t>
  </si>
  <si>
    <t>4JGDF7CE8DA148599</t>
  </si>
  <si>
    <t>S-Class</t>
  </si>
  <si>
    <t>S550</t>
  </si>
  <si>
    <t>WDDNG7DB5DA525549</t>
  </si>
  <si>
    <t>WDDGF4HB8DA832718</t>
  </si>
  <si>
    <t>mercedes-benz financial services</t>
  </si>
  <si>
    <t>WDDNG7DB9DA492877</t>
  </si>
  <si>
    <t>M-Class</t>
  </si>
  <si>
    <t>ML350</t>
  </si>
  <si>
    <t>4JGDA5JB8DA218923</t>
  </si>
  <si>
    <t>mercedes-benz finc services premier program</t>
  </si>
  <si>
    <t>WDDNG7DB8DA497438</t>
  </si>
  <si>
    <t>us bank</t>
  </si>
  <si>
    <t>WDDGF4HB2DR241947</t>
  </si>
  <si>
    <t>E-Class</t>
  </si>
  <si>
    <t>E350 Sport</t>
  </si>
  <si>
    <t>WDDHF5KB1DA703044</t>
  </si>
  <si>
    <t>E350</t>
  </si>
  <si>
    <t>WDDKJ5KB4DF191416</t>
  </si>
  <si>
    <t>WDDHF5KB6DA718574</t>
  </si>
  <si>
    <t>WDDGF4HB3DR256859</t>
  </si>
  <si>
    <t>WDDHF5KB8DA762334</t>
  </si>
  <si>
    <t>C250</t>
  </si>
  <si>
    <t>WDDGJ4HBXDF943918</t>
  </si>
  <si>
    <t>WDDGJ4HBXDG003743</t>
  </si>
  <si>
    <t>WDDGJ4HB6DF988399</t>
  </si>
  <si>
    <t>WDDNG7DB5DA496778</t>
  </si>
  <si>
    <t>WDDGJ4HB5DF998504</t>
  </si>
  <si>
    <t>WDDNG7DB2DA502214</t>
  </si>
  <si>
    <t>WDDNG7DB3DA492051</t>
  </si>
  <si>
    <t>WDDNG7DB4DA498361</t>
  </si>
  <si>
    <t>Mini</t>
  </si>
  <si>
    <t>Cooper Clubman</t>
  </si>
  <si>
    <t>WMWZF3C54DT489938</t>
  </si>
  <si>
    <t>Cooper</t>
  </si>
  <si>
    <t>WMWSU3C59DT548117</t>
  </si>
  <si>
    <t>WMWZF3C50DT489905</t>
  </si>
  <si>
    <t>WMWSU3C58DT546181</t>
  </si>
  <si>
    <t>Cooper Countryman</t>
  </si>
  <si>
    <t>WMWZB3C52DWM07005</t>
  </si>
  <si>
    <t>Mitsubishi</t>
  </si>
  <si>
    <t>Outlander Sport</t>
  </si>
  <si>
    <t>LE</t>
  </si>
  <si>
    <t>4A4AR5AU4DE024456</t>
  </si>
  <si>
    <t>Outlander</t>
  </si>
  <si>
    <t>JA4JT3AW9DU020286</t>
  </si>
  <si>
    <t>JA4JT3AW7DU019962</t>
  </si>
  <si>
    <t>JA4JT3AW4DU020776</t>
  </si>
  <si>
    <t>Lancer</t>
  </si>
  <si>
    <t>ES</t>
  </si>
  <si>
    <t>JA32U2FU2DU019813</t>
  </si>
  <si>
    <t>JA4JT3AW5DU020785</t>
  </si>
  <si>
    <t>Ralliart</t>
  </si>
  <si>
    <t>JA32V6FV9DU003475</t>
  </si>
  <si>
    <t>Nissan</t>
  </si>
  <si>
    <t>Altima</t>
  </si>
  <si>
    <t>1N4AL3AP6DC903319</t>
  </si>
  <si>
    <t>1N4AL3AP3DN535427</t>
  </si>
  <si>
    <t>1N4AL3AP4DN454940</t>
  </si>
  <si>
    <t>1N4AL3AP9DC280391</t>
  </si>
  <si>
    <t>1N4AL3AP5DC205039</t>
  </si>
  <si>
    <t>370Z</t>
  </si>
  <si>
    <t>JN1AZ4FH8DM790096</t>
  </si>
  <si>
    <t>1N4AL3AP0DN511313</t>
  </si>
  <si>
    <t>1N4AL3AP2DN571447</t>
  </si>
  <si>
    <t>Charcoal</t>
  </si>
  <si>
    <t>JN1AZ4EH8DM881810</t>
  </si>
  <si>
    <t>2.5 S</t>
  </si>
  <si>
    <t>1N4AL2EP0DC290165</t>
  </si>
  <si>
    <t>team nissan</t>
  </si>
  <si>
    <t>1N4AL3AP0DC283888</t>
  </si>
  <si>
    <t>1N4AL3AP8DN508594</t>
  </si>
  <si>
    <t>1N4AL3AP3DC208697</t>
  </si>
  <si>
    <t>nissan dealer blend/ross nissan of el monte</t>
  </si>
  <si>
    <t>Versa</t>
  </si>
  <si>
    <t>1.6 SL</t>
  </si>
  <si>
    <t>3N1CN7AP7FL842707</t>
  </si>
  <si>
    <t>nissan-infiniti lt</t>
  </si>
  <si>
    <t>1N4AL3AP2DC275940</t>
  </si>
  <si>
    <t>1N4AL3AP1DN536852</t>
  </si>
  <si>
    <t>1N4AL3APXDN538325</t>
  </si>
  <si>
    <t>1N4AL3AP4DC259156</t>
  </si>
  <si>
    <t>merchants automotive group</t>
  </si>
  <si>
    <t>1N4AL3AP5DN450766</t>
  </si>
  <si>
    <t>wheels exchange llc</t>
  </si>
  <si>
    <t>1N4AL2EP2DC219971</t>
  </si>
  <si>
    <t>1N4AL3AP5DC259084</t>
  </si>
  <si>
    <t>merchants leasing</t>
  </si>
  <si>
    <t>1N4AL2EP3DC223558</t>
  </si>
  <si>
    <t>1N4AL3AP8DC187703</t>
  </si>
  <si>
    <t>1N4AL3AP8DC261914</t>
  </si>
  <si>
    <t>1N4AL3APXDC256245</t>
  </si>
  <si>
    <t>1N4AL3AP2DC297887</t>
  </si>
  <si>
    <t>1N4AL3AP5FC124223</t>
  </si>
  <si>
    <t>1N4AL2EP0DC231309</t>
  </si>
  <si>
    <t>remarketing by ge/manheim southern california</t>
  </si>
  <si>
    <t>Juke</t>
  </si>
  <si>
    <t>S</t>
  </si>
  <si>
    <t>JN8AF5MV4DT218618</t>
  </si>
  <si>
    <t>1N4AL3AP1FN326013</t>
  </si>
  <si>
    <t>1N4AL3AP1FN331213</t>
  </si>
  <si>
    <t>1N4AL3AP4DN548218</t>
  </si>
  <si>
    <t>1N4AL3AP4FN310470</t>
  </si>
  <si>
    <t>1N4AL3AP1DC259891</t>
  </si>
  <si>
    <t>1N4AL3AP6DN518833</t>
  </si>
  <si>
    <t>1N4AL3AP5DC262583</t>
  </si>
  <si>
    <t>1N4AL2EP6DC191432</t>
  </si>
  <si>
    <t>Versa Note</t>
  </si>
  <si>
    <t>1.6 SV</t>
  </si>
  <si>
    <t>3N1CE2CP8FL371361</t>
  </si>
  <si>
    <t>Toyota</t>
  </si>
  <si>
    <t>Corolla</t>
  </si>
  <si>
    <t>5YFBU4EE5DP216754</t>
  </si>
  <si>
    <t>Sienna</t>
  </si>
  <si>
    <t>LE 7-Passenger Mobility Auto Access</t>
  </si>
  <si>
    <t>5TDKK3DC4DS344460</t>
  </si>
  <si>
    <t>Yaris</t>
  </si>
  <si>
    <t>JTDKTUD33DD552876</t>
  </si>
  <si>
    <t>Volkswagen</t>
  </si>
  <si>
    <t>Passat</t>
  </si>
  <si>
    <t>SE PZEV</t>
  </si>
  <si>
    <t>1VWBP7A36DC103091</t>
  </si>
  <si>
    <t>vw credit</t>
  </si>
  <si>
    <t>Volvo</t>
  </si>
  <si>
    <t>Xc60</t>
  </si>
  <si>
    <t>YV4940DL7D2432124</t>
  </si>
  <si>
    <t>V60</t>
  </si>
  <si>
    <t>T5</t>
  </si>
  <si>
    <t>YV1612SB9F1202043</t>
  </si>
  <si>
    <t>volvo na rep/world omni</t>
  </si>
  <si>
    <t>YV1612SB1F1201503</t>
  </si>
  <si>
    <t>YV1612SBXF1202276</t>
  </si>
  <si>
    <t>YV1612SB6F1202338</t>
  </si>
  <si>
    <t>YV1612SB2F1201221</t>
  </si>
  <si>
    <t>S60</t>
  </si>
  <si>
    <t>YV1612TB4F1310987</t>
  </si>
  <si>
    <t>Xc70</t>
  </si>
  <si>
    <t>T6</t>
  </si>
  <si>
    <t>YV4902NB3F1196951</t>
  </si>
  <si>
    <t>YV4902NB3F1198103</t>
  </si>
  <si>
    <t>YV1612SB8F1201529</t>
  </si>
  <si>
    <t>Brand Sales &amp; Average Price Report</t>
  </si>
  <si>
    <t>Brand (Make)</t>
  </si>
  <si>
    <t>Total Sales Revenue</t>
  </si>
  <si>
    <t>Average Selling Price</t>
  </si>
  <si>
    <t>Sales Count</t>
  </si>
  <si>
    <t>Grand Total</t>
  </si>
  <si>
    <t>Model vs Sales Volume (Top 15 Models)</t>
  </si>
  <si>
    <t>Brand</t>
  </si>
  <si>
    <t>Model</t>
  </si>
  <si>
    <t>Sales Volume</t>
  </si>
  <si>
    <t>saledate - Year-Month</t>
  </si>
  <si>
    <t>Total Revenue</t>
  </si>
  <si>
    <t>Count of Cars</t>
  </si>
  <si>
    <t>Average Price</t>
  </si>
  <si>
    <t>2014-Dec</t>
  </si>
  <si>
    <t>2015-Jan</t>
  </si>
  <si>
    <t>2015-Feb</t>
  </si>
  <si>
    <t>2015-Jul</t>
  </si>
  <si>
    <t>$10,955,601.00</t>
  </si>
  <si>
    <t>500</t>
  </si>
  <si>
    <t>Car Sales Dashboard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</si>
</sst>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&quot;$&quot;#,##0"/>
    <numFmt numFmtId="166" formatCode="&quot;$&quot;#,##0.00"/>
    <numFmt numFmtId="167" formatCode="m/d/yyyy h:mm:ss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rgb="FFD9D9D9"/>
      <name val="Arial"/>
    </font>
    <font>
      <sz val="11.0"/>
      <color rgb="FF000000"/>
      <name val="Calibri"/>
    </font>
    <font>
      <b/>
      <sz val="11.0"/>
      <color theme="1"/>
      <name val="&quot;Segoe UI&quot;"/>
    </font>
    <font>
      <color theme="1"/>
      <name val="&quot;Segoe UI&quot;"/>
    </font>
    <font>
      <b/>
      <color theme="1"/>
      <name val="&quot;Segoe UI&quot;"/>
    </font>
    <font>
      <b/>
      <sz val="14.0"/>
      <color rgb="FFD9D9D9"/>
      <name val="Arial"/>
      <scheme val="minor"/>
    </font>
    <font>
      <b/>
      <color theme="1"/>
      <name val="Arial"/>
      <scheme val="minor"/>
    </font>
    <font>
      <sz val="15.0"/>
      <color theme="1"/>
      <name val="Calibri"/>
    </font>
    <font>
      <sz val="10.0"/>
      <color rgb="FF1A1B20"/>
      <name val="Roboto"/>
    </font>
    <font>
      <b/>
      <sz val="10.0"/>
      <color rgb="FFFFFFFF"/>
      <name val="Montserrat"/>
    </font>
    <font>
      <b/>
      <sz val="24.0"/>
      <color theme="4"/>
      <name val="Montserrat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2F6F9"/>
        <bgColor rgb="FFF2F6F9"/>
      </patternFill>
    </fill>
    <fill>
      <patternFill patternType="solid">
        <fgColor rgb="FFF9F7FF"/>
        <bgColor rgb="FFF9F7FF"/>
      </patternFill>
    </fill>
  </fills>
  <borders count="3">
    <border/>
    <border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2" fontId="2" numFmtId="0" xfId="0" applyAlignment="1" applyFill="1" applyFont="1">
      <alignment horizontal="center" readingOrder="0" shrinkToFit="0" vertical="center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165" xfId="0" applyAlignment="1" applyFont="1" applyNumberFormat="1">
      <alignment readingOrder="0" shrinkToFit="0" vertical="center" wrapText="0"/>
    </xf>
    <xf borderId="0" fillId="0" fontId="5" numFmtId="166" xfId="0" applyAlignment="1" applyFont="1" applyNumberFormat="1">
      <alignment readingOrder="0" shrinkToFit="0" vertical="center" wrapText="0"/>
    </xf>
    <xf borderId="0" fillId="0" fontId="5" numFmtId="0" xfId="0" applyAlignment="1" applyFont="1">
      <alignment horizontal="right" readingOrder="0" shrinkToFit="0" vertical="center" wrapText="0"/>
    </xf>
    <xf borderId="0" fillId="3" fontId="5" numFmtId="0" xfId="0" applyAlignment="1" applyFill="1" applyFont="1">
      <alignment readingOrder="0" shrinkToFit="0" vertical="center" wrapText="0"/>
    </xf>
    <xf borderId="0" fillId="3" fontId="5" numFmtId="165" xfId="0" applyAlignment="1" applyFont="1" applyNumberFormat="1">
      <alignment readingOrder="0" shrinkToFit="0" vertical="center" wrapText="0"/>
    </xf>
    <xf borderId="0" fillId="3" fontId="5" numFmtId="166" xfId="0" applyAlignment="1" applyFont="1" applyNumberFormat="1">
      <alignment readingOrder="0" shrinkToFit="0" vertical="center" wrapText="0"/>
    </xf>
    <xf borderId="0" fillId="3" fontId="5" numFmtId="0" xfId="0" applyAlignment="1" applyFont="1">
      <alignment horizontal="right" readingOrder="0" shrinkToFit="0" vertical="center" wrapText="0"/>
    </xf>
    <xf borderId="1" fillId="0" fontId="6" numFmtId="0" xfId="0" applyAlignment="1" applyBorder="1" applyFont="1">
      <alignment horizontal="right" readingOrder="0" shrinkToFit="0" vertical="bottom" wrapText="0"/>
    </xf>
    <xf borderId="1" fillId="0" fontId="6" numFmtId="165" xfId="0" applyAlignment="1" applyBorder="1" applyFont="1" applyNumberFormat="1">
      <alignment readingOrder="0" shrinkToFit="0" vertical="bottom" wrapText="0"/>
    </xf>
    <xf borderId="1" fillId="0" fontId="6" numFmtId="166" xfId="0" applyAlignment="1" applyBorder="1" applyFont="1" applyNumberFormat="1">
      <alignment readingOrder="0" shrinkToFit="0" vertical="bottom" wrapText="0"/>
    </xf>
    <xf borderId="0" fillId="2" fontId="7" numFmtId="0" xfId="0" applyAlignment="1" applyFont="1">
      <alignment readingOrder="0"/>
    </xf>
    <xf borderId="0" fillId="0" fontId="8" numFmtId="0" xfId="0" applyFont="1"/>
    <xf borderId="0" fillId="0" fontId="9" numFmtId="0" xfId="0" applyFont="1"/>
    <xf borderId="0" fillId="0" fontId="9" numFmtId="4" xfId="0" applyFont="1" applyNumberFormat="1"/>
    <xf borderId="0" fillId="0" fontId="9" numFmtId="0" xfId="0" applyAlignment="1" applyFont="1">
      <alignment horizontal="left" readingOrder="0" shrinkToFit="0" vertical="center" wrapText="0"/>
    </xf>
    <xf borderId="0" fillId="0" fontId="9" numFmtId="4" xfId="0" applyAlignment="1" applyFont="1" applyNumberFormat="1">
      <alignment horizontal="left"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4" xfId="0" applyAlignment="1" applyFont="1" applyNumberFormat="1">
      <alignment readingOrder="0" shrinkToFit="0" vertical="center" wrapText="0"/>
    </xf>
    <xf borderId="0" fillId="0" fontId="9" numFmtId="0" xfId="0" applyAlignment="1" applyFont="1">
      <alignment shrinkToFit="0" vertical="center" wrapText="0"/>
    </xf>
    <xf borderId="0" fillId="0" fontId="10" numFmtId="0" xfId="0" applyFont="1"/>
    <xf borderId="0" fillId="0" fontId="11" numFmtId="0" xfId="0" applyFont="1"/>
    <xf borderId="2" fillId="2" fontId="11" numFmtId="0" xfId="0" applyBorder="1" applyFont="1"/>
    <xf borderId="0" fillId="0" fontId="10" numFmtId="167" xfId="0" applyFont="1" applyNumberFormat="1"/>
    <xf borderId="0" fillId="0" fontId="10" numFmtId="166" xfId="0" applyFont="1" applyNumberFormat="1"/>
    <xf borderId="0" fillId="0" fontId="10" numFmtId="0" xfId="0" applyFont="1"/>
    <xf borderId="0" fillId="4" fontId="10" numFmtId="0" xfId="0" applyFill="1" applyFont="1"/>
    <xf borderId="0" fillId="4" fontId="12" numFmtId="0" xfId="0" applyAlignment="1" applyFont="1">
      <alignment horizontal="center" readingOrder="0" vertical="center"/>
    </xf>
  </cellXfs>
  <cellStyles count="1">
    <cellStyle xfId="0" name="Normal" builtinId="0"/>
  </cellStyles>
  <dxfs count="1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DD9D4"/>
          <bgColor rgb="FFCDD9D4"/>
        </patternFill>
      </fill>
      <border/>
    </dxf>
    <dxf>
      <font/>
      <fill>
        <patternFill patternType="solid">
          <fgColor rgb="FF4B5C92"/>
          <bgColor rgb="FF4B5C92"/>
        </patternFill>
      </fill>
      <border/>
    </dxf>
    <dxf>
      <font/>
      <fill>
        <patternFill patternType="solid">
          <fgColor rgb="FFF9F8FF"/>
          <bgColor rgb="FFF9F8FF"/>
        </patternFill>
      </fill>
      <border/>
    </dxf>
    <dxf>
      <font/>
      <fill>
        <patternFill patternType="solid">
          <fgColor rgb="FFEDECF4"/>
          <bgColor rgb="FFEDECF4"/>
        </patternFill>
      </fill>
      <border/>
    </dxf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</dxfs>
  <tableStyles count="6">
    <tableStyle count="4" pivot="0" name="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rand Sales &amp; Average Price Re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Model Analysis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Sales Trends-style">
      <tableStyleElement dxfId="6" type="headerRow"/>
      <tableStyleElement dxfId="7" type="firstRowStripe"/>
      <tableStyleElement dxfId="2" type="secondRowStripe"/>
      <tableStyleElement dxfId="8" type="totalRow"/>
    </tableStyle>
    <tableStyle count="4" pivot="0" name="Sales Trends-style 2">
      <tableStyleElement dxfId="6" type="headerRow"/>
      <tableStyleElement dxfId="7" type="firstRowStripe"/>
      <tableStyleElement dxfId="2" type="secondRowStripe"/>
      <tableStyleElement dxfId="8" type="totalRow"/>
    </tableStyle>
    <tableStyle count="12" table="0" name="Google Sheets Pivot Table Style">
      <tableStyleElement dxfId="10" type="wholeTable"/>
      <tableStyleElement dxfId="11" type="firstRowSubheading"/>
      <tableStyleElement dxfId="11" type="secondRowSubheading"/>
      <tableStyleElement dxfId="11" type="thirdRowSubheading"/>
      <tableStyleElement dxfId="12" type="firstColumnSubheading"/>
      <tableStyleElement dxfId="12" type="secondColumnSubheading"/>
      <tableStyleElement dxfId="12" type="thirdColumnSubheading"/>
      <tableStyleElement dxfId="12" type="headerRow"/>
      <tableStyleElement dxfId="13" type="firstSubtotalRow"/>
      <tableStyleElement dxfId="13" type="secondSubtotalRow"/>
      <tableStyleElement dxfId="13" type="thirdSubtotalRow"/>
      <tableStyleElement dxfId="1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Count vs. Brand (Make)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'Brand Sales &amp; Average Price Rep'!$D$3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'Brand Sales &amp; Average Price Rep'!$A$4:$A$26</c:f>
            </c:strRef>
          </c:cat>
          <c:val>
            <c:numRef>
              <c:f>'Brand Sales &amp; Average Price Rep'!$D$4:$D$26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Selling Price vs. Brand (Make)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'Brand Sales &amp; Average Price Rep'!$C$3</c:f>
            </c:strRef>
          </c:tx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cat>
            <c:strRef>
              <c:f>'Brand Sales &amp; Average Price Rep'!$A$4:$A$26</c:f>
            </c:strRef>
          </c:cat>
          <c:val>
            <c:numRef>
              <c:f>'Brand Sales &amp; Average Price Rep'!$C$4:$C$26</c:f>
              <c:numCache/>
            </c:numRef>
          </c:val>
        </c:ser>
        <c:axId val="619445249"/>
        <c:axId val="714139867"/>
      </c:bar3DChart>
      <c:catAx>
        <c:axId val="61944524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Brand (Make)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4139867"/>
      </c:catAx>
      <c:valAx>
        <c:axId val="71413986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Selling 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944524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0E0E3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Volume vs. Model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'Model Analysis'!$C$3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'Model Analysis'!$B$4:$B$18</c:f>
            </c:strRef>
          </c:cat>
          <c:val>
            <c:numRef>
              <c:f>'Model Analysis'!$C$4:$C$18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l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bar"/>
        <c:grouping val="stacked"/>
        <c:ser>
          <c:idx val="0"/>
          <c:order val="0"/>
          <c:tx>
            <c:strRef>
              <c:f>'Sales Trends'!$C$3</c:f>
            </c:strRef>
          </c:tx>
          <c:spPr>
            <a:solidFill>
              <a:srgbClr val="A64D7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'Sales Trends'!$B$4:$B$7</c:f>
            </c:strRef>
          </c:cat>
          <c:val>
            <c:numRef>
              <c:f>'Sales Trends'!$C$4:$C$7</c:f>
              <c:numCache/>
            </c:numRef>
          </c:val>
        </c:ser>
        <c:ser>
          <c:idx val="1"/>
          <c:order val="1"/>
          <c:tx>
            <c:strRef>
              <c:f>'Sales Trends'!$D$3</c:f>
            </c:strRef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'Sales Trends'!$B$4:$B$7</c:f>
            </c:strRef>
          </c:cat>
          <c:val>
            <c:numRef>
              <c:f>'Sales Trends'!$D$4:$D$7</c:f>
              <c:numCache/>
            </c:numRef>
          </c:val>
        </c:ser>
        <c:axId val="768690610"/>
        <c:axId val="951064756"/>
      </c:bar3DChart>
      <c:catAx>
        <c:axId val="76869061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1064756"/>
      </c:catAx>
      <c:valAx>
        <c:axId val="95106475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_(&quot;$&quot;* #,##0.00_);_(&quot;$&quot;* \(#,##0.00\);_(&quot;$&quot;* &quot;-&quot;??_);_(@_)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869061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CCCCC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tx>
            <c:strRef>
              <c:f>'Sales Trends'!$H$3</c:f>
            </c:strRef>
          </c:tx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'Sales Trends'!$G$4:$G$7</c:f>
            </c:strRef>
          </c:cat>
          <c:val>
            <c:numRef>
              <c:f>'Sales Trends'!$H$4:$H$7</c:f>
              <c:numCache/>
            </c:numRef>
          </c:val>
        </c:ser>
        <c:ser>
          <c:idx val="1"/>
          <c:order val="1"/>
          <c:tx>
            <c:strRef>
              <c:f>'Sales Trends'!$I$3</c:f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'Sales Trends'!$G$4:$G$7</c:f>
            </c:strRef>
          </c:cat>
          <c:val>
            <c:numRef>
              <c:f>'Sales Trends'!$I$4:$I$7</c:f>
              <c:numCache/>
            </c:numRef>
          </c:val>
        </c:ser>
        <c:axId val="2145762819"/>
        <c:axId val="1022729343"/>
      </c:bar3DChart>
      <c:catAx>
        <c:axId val="21457628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2729343"/>
      </c:catAx>
      <c:valAx>
        <c:axId val="10227293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57628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4CCCC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757575"/>
                </a:solidFill>
                <a:latin typeface="Montserrat"/>
              </a:defRPr>
            </a:pPr>
            <a:r>
              <a:rPr b="1" sz="1400">
                <a:solidFill>
                  <a:srgbClr val="757575"/>
                </a:solidFill>
                <a:latin typeface="Montserrat"/>
              </a:rPr>
              <a:t>Monthly Revenue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'Sales Trends'!$C$3</c:f>
            </c:strRef>
          </c:tx>
          <c:spPr>
            <a:ln cmpd="sng">
              <a:solidFill>
                <a:schemeClr val="accent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'Sales Trends'!$B$4:$B$7</c:f>
            </c:strRef>
          </c:cat>
          <c:val>
            <c:numRef>
              <c:f>'Sales Trends'!$C$4:$C$7</c:f>
              <c:numCache/>
            </c:numRef>
          </c:val>
          <c:smooth val="1"/>
        </c:ser>
        <c:axId val="285029193"/>
        <c:axId val="1607631844"/>
      </c:lineChart>
      <c:catAx>
        <c:axId val="2850291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7631844"/>
      </c:catAx>
      <c:valAx>
        <c:axId val="16076318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5029193"/>
      </c:valAx>
    </c:plotArea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757575"/>
                </a:solidFill>
                <a:latin typeface="Montserrat"/>
              </a:defRPr>
            </a:pPr>
            <a:r>
              <a:rPr b="1" sz="1400">
                <a:solidFill>
                  <a:srgbClr val="757575"/>
                </a:solidFill>
                <a:latin typeface="Montserrat"/>
              </a:rPr>
              <a:t>Top Models by Sales Volume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'Model Analysis'!$C$3</c:f>
            </c:strRef>
          </c:tx>
          <c:spPr>
            <a:solidFill>
              <a:srgbClr val="4B5C92"/>
            </a:solidFill>
            <a:ln cmpd="sng">
              <a:solidFill>
                <a:srgbClr val="000000"/>
              </a:solidFill>
            </a:ln>
          </c:spPr>
          <c:dLbls>
            <c:numFmt formatCode="General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'Model Analysis'!$B$4:$B$18</c:f>
            </c:strRef>
          </c:cat>
          <c:val>
            <c:numRef>
              <c:f>'Model Analysis'!$C$4:$C$18</c:f>
              <c:numCache/>
            </c:numRef>
          </c:val>
        </c:ser>
        <c:axId val="1523898880"/>
        <c:axId val="221247042"/>
      </c:barChart>
      <c:catAx>
        <c:axId val="1523898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1247042"/>
      </c:catAx>
      <c:valAx>
        <c:axId val="2212470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 Volume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3898880"/>
      </c:valAx>
    </c:plotArea>
    <c:plotVisOnly val="1"/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Count vs. Brand (Make)</a:t>
            </a:r>
          </a:p>
        </c:rich>
      </c:tx>
      <c:overlay val="0"/>
    </c:title>
    <c:view3D>
      <c:rotX val="50"/>
      <c:perspective val="0"/>
    </c:view3D>
    <c:plotArea>
      <c:layout>
        <c:manualLayout>
          <c:xMode val="edge"/>
          <c:yMode val="edge"/>
          <c:x val="0.01734079173838208"/>
          <c:y val="0.06823821339950373"/>
          <c:w val="0.9653184165232357"/>
          <c:h val="0.7789495450785775"/>
        </c:manualLayout>
      </c:layout>
      <c:doughnutChart>
        <c:varyColors val="1"/>
        <c:ser>
          <c:idx val="0"/>
          <c:order val="0"/>
          <c:tx>
            <c:strRef>
              <c:f>'Brand Sales &amp; Average Price Rep'!$D$3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'Brand Sales &amp; Average Price Rep'!$A$4:$A$26</c:f>
            </c:strRef>
          </c:cat>
          <c:val>
            <c:numRef>
              <c:f>'Brand Sales &amp; Average Price Rep'!$D$4:$D$26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Relationship Id="rId3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7.png"/><Relationship Id="rId2" Type="http://schemas.openxmlformats.org/officeDocument/2006/relationships/image" Target="../media/Chart8.png"/><Relationship Id="rId3" Type="http://schemas.openxmlformats.org/officeDocument/2006/relationships/image" Target="../media/Chart9.png"/><Relationship Id="rId4" Type="http://schemas.openxmlformats.org/officeDocument/2006/relationships/chart" Target="../charts/chart6.xml"/><Relationship Id="rId5" Type="http://schemas.openxmlformats.org/officeDocument/2006/relationships/chart" Target="../charts/chart7.xml"/><Relationship Id="rId6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400050</xdr:colOff>
      <xdr:row>1</xdr:row>
      <xdr:rowOff>209550</xdr:rowOff>
    </xdr:from>
    <xdr:ext cx="5715000" cy="40386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457200</xdr:colOff>
      <xdr:row>16</xdr:row>
      <xdr:rowOff>228600</xdr:rowOff>
    </xdr:from>
    <xdr:ext cx="5581650" cy="3495675"/>
    <xdr:pic>
      <xdr:nvPicPr>
        <xdr:cNvPr id="372699073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409575</xdr:colOff>
      <xdr:row>30</xdr:row>
      <xdr:rowOff>180975</xdr:rowOff>
    </xdr:from>
    <xdr:ext cx="5715000" cy="34385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</xdr:colOff>
      <xdr:row>2</xdr:row>
      <xdr:rowOff>19050</xdr:rowOff>
    </xdr:from>
    <xdr:ext cx="5715000" cy="44196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104775</xdr:rowOff>
    </xdr:from>
    <xdr:ext cx="5819775" cy="44577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104775</xdr:colOff>
      <xdr:row>9</xdr:row>
      <xdr:rowOff>104775</xdr:rowOff>
    </xdr:from>
    <xdr:ext cx="5715000" cy="44577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0</xdr:rowOff>
    </xdr:from>
    <xdr:ext cx="3619500" cy="1428750"/>
    <xdr:pic>
      <xdr:nvPicPr>
        <xdr:cNvPr id="811483047" name="Chart7" title="Total Revenue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3619500" cy="1428750"/>
    <xdr:pic>
      <xdr:nvPicPr>
        <xdr:cNvPr id="277780776" name="Chart8" title="Total Cars Sold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3619500" cy="1428750"/>
    <xdr:pic>
      <xdr:nvPicPr>
        <xdr:cNvPr id="795431868" name="Chart9" title="Average Price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12</xdr:row>
      <xdr:rowOff>0</xdr:rowOff>
    </xdr:from>
    <xdr:ext cx="11287125" cy="3705225"/>
    <xdr:graphicFrame>
      <xdr:nvGraphicFramePr>
        <xdr:cNvPr id="10" name="Chart 10" title="Monthly Revenue Tren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219075</xdr:colOff>
      <xdr:row>30</xdr:row>
      <xdr:rowOff>200025</xdr:rowOff>
    </xdr:from>
    <xdr:ext cx="11068050" cy="3838575"/>
    <xdr:graphicFrame>
      <xdr:nvGraphicFramePr>
        <xdr:cNvPr id="11" name="Chart 11" title="Top Models by Sales Volum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219075</xdr:colOff>
      <xdr:row>50</xdr:row>
      <xdr:rowOff>123825</xdr:rowOff>
    </xdr:from>
    <xdr:ext cx="11068050" cy="72294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501" sheet="Data"/>
  </cacheSource>
  <cacheFields>
    <cacheField name="year" numFmtId="0">
      <sharedItems containsSemiMixedTypes="0" containsString="0" containsNumber="1" containsInteger="1">
        <n v="2014.0"/>
        <n v="2015.0"/>
        <n v="2013.0"/>
      </sharedItems>
    </cacheField>
    <cacheField name="make" numFmtId="0">
      <sharedItems>
        <s v="Acura"/>
        <s v="Audi"/>
        <s v="Bmw"/>
        <s v="Buick"/>
        <s v="Cadillac"/>
        <s v="Chevrolet"/>
        <s v="Ford"/>
        <s v="Hyundai"/>
        <s v="Infiniti"/>
        <s v="Jaguar"/>
        <s v="Jeep"/>
        <s v="Kia"/>
        <s v="Land Rover"/>
        <s v="Lexus"/>
        <s v="Lincoln"/>
        <s v="Mazda"/>
        <s v="Mercedes-Benz"/>
        <s v="Mini"/>
        <s v="Mitsubishi"/>
        <s v="Nissan"/>
        <s v="Toyota"/>
        <s v="Volkswagen"/>
        <s v="Volvo"/>
      </sharedItems>
    </cacheField>
    <cacheField name="model" numFmtId="0">
      <sharedItems>
        <s v="Ilx"/>
        <s v="Mdx"/>
        <s v="A6"/>
        <s v="A4"/>
        <s v="S5"/>
        <s v="Tts"/>
        <s v="Q5"/>
        <s v="A3"/>
        <s v="A8"/>
        <s v="Sq5"/>
        <s v="6 Series Gran Coupe"/>
        <s v="4 Series"/>
        <s v="M5"/>
        <s v="6 Series"/>
        <s v="X6"/>
        <s v="X1"/>
        <s v="X5"/>
        <s v="3 Series"/>
        <s v="5 Series"/>
        <s v="Enclave"/>
        <s v="Srx"/>
        <s v="Elr"/>
        <s v="Camaro"/>
        <s v="Cruze"/>
        <s v="Silverado 1500"/>
        <s v="Suburban"/>
        <s v="Malibu"/>
        <s v="Impala"/>
        <s v="Fusion"/>
        <s v="Elantra"/>
        <s v="Santa Fe"/>
        <s v="Genesis"/>
        <s v="Sonata Hybrid"/>
        <s v="Sonata"/>
        <s v="Veloster"/>
        <s v="Elantra Coupe"/>
        <s v="Accent"/>
        <s v="Azera"/>
        <s v="Tucson"/>
        <s v="Equus"/>
        <s v="Genesis Coupe"/>
        <s v="G Sedan"/>
        <s v="G Coupe"/>
        <s v="Jx"/>
        <s v="Fx"/>
        <s v="M"/>
        <s v="Xf"/>
        <s v="Wrangler"/>
        <s v="Grand Cherokee"/>
        <s v="Compass"/>
        <s v="Optima"/>
        <s v="Sorento"/>
        <s v="Soul"/>
        <s v="Rio"/>
        <s v="Forte"/>
        <s v="Sportage"/>
        <s v="K900"/>
        <s v="Range Rover Evoque"/>
        <s v="Lr4"/>
        <s v="Range Rover Sport"/>
        <s v="Rx 350"/>
        <s v="Es 350"/>
        <s v="Gs 350"/>
        <s v="Ls 460"/>
        <s v="Mkx"/>
        <s v="Mazda2"/>
        <s v="Mazda3"/>
        <s v="Mazda5"/>
        <s v="Cx-9"/>
        <s v="C-Class"/>
        <s v="Glk-Class"/>
        <s v="Gl-Class"/>
        <s v="S-Class"/>
        <s v="M-Class"/>
        <s v="E-Class"/>
        <s v="Cooper Clubman"/>
        <s v="Cooper"/>
        <s v="Cooper Countryman"/>
        <s v="Outlander Sport"/>
        <s v="Outlander"/>
        <s v="Lancer"/>
        <s v="Altima"/>
        <s v="370Z"/>
        <s v="Versa"/>
        <s v="Juke"/>
        <s v="Versa Note"/>
        <s v="Corolla"/>
        <s v="Sienna"/>
        <s v="Yaris"/>
        <s v="Passat"/>
        <s v="Xc60"/>
        <s v="V60"/>
        <s v="S60"/>
        <s v="Xc70"/>
      </sharedItems>
    </cacheField>
    <cacheField name="trim">
      <sharedItems containsMixedTypes="1" containsNumber="1">
        <s v="Technology Package"/>
        <s v="Advance and Entertainment Packages"/>
        <s v="Base"/>
        <s v="3.0T Prestige quattro"/>
        <s v="2.0T Premium Plus quattro"/>
        <s v="Premium Plus quattro"/>
        <s v="quattro"/>
        <s v="1.8 TFSI Premium"/>
        <s v="L 3.0T quattro"/>
        <s v="3.0T Premium Plus quattro"/>
        <s v="650i"/>
        <s v="428i SULEV"/>
        <s v="xDrive35i"/>
        <s v="sDrive28i"/>
        <s v="328i SULEV"/>
        <s v="535d"/>
        <s v="528i"/>
        <s v="Leather Group"/>
        <s v="Luxury"/>
        <s v="LS"/>
        <s v="1LT"/>
        <s v="LT"/>
        <s v="2LT"/>
        <s v="LTZ"/>
        <s v="SE"/>
        <s v="Limited"/>
        <s v="5.0 R-Spec"/>
        <s v="GLS"/>
        <s v="Sport"/>
        <s v="Sport 2.0T"/>
        <s v="Turbo"/>
        <s v="GS"/>
        <s v="Ultimate"/>
        <n v="3.8"/>
        <s v="3.8 Track"/>
        <s v="Signature"/>
        <s v="G37 Journey"/>
        <s v="G37 Sport"/>
        <s v="G37x"/>
        <s v="JX35"/>
        <s v="FX37"/>
        <s v="M37"/>
        <s v="Unlimited Rubicon"/>
        <s v="Latitude"/>
        <s v="Unlimited Sahara"/>
        <s v="Unlimited Sport"/>
        <s v="LX"/>
        <s v="SX"/>
        <s v="+"/>
        <s v="EX"/>
        <s v="EX Hybrid"/>
        <s v="Pure Plus"/>
        <s v="HSE LUX"/>
        <s v="Pure Premium"/>
        <s v="Supercharged Limited Edition"/>
        <s v="L"/>
        <s v="Touring"/>
        <s v="i Touring"/>
        <s v="i Sport"/>
        <s v="i SV"/>
        <s v="C250 Sport"/>
        <s v="GLK350"/>
        <s v="GL450 4MATIC"/>
        <s v="S550"/>
        <s v="ML350"/>
        <s v="E350 Sport"/>
        <s v="E350"/>
        <s v="C250"/>
        <s v="LE"/>
        <s v="ES"/>
        <s v="Ralliart"/>
        <n v="2.5"/>
        <s v="2.5 S"/>
        <s v="1.6 SL"/>
        <s v="S"/>
        <s v="1.6 SV"/>
        <s v="LE 7-Passenger Mobility Auto Access"/>
        <s v="SE PZEV"/>
        <n v="3.2"/>
        <s v="T5"/>
        <s v="T6"/>
      </sharedItems>
    </cacheField>
    <cacheField name="body" numFmtId="0">
      <sharedItems>
        <s v="Sedan"/>
        <s v="Suv"/>
        <s v="Coupe"/>
        <s v="Convertible"/>
        <s v="Crew Cab"/>
        <s v="Hatchback"/>
        <s v="Elantra Coupe"/>
        <s v="Genesis Coupe"/>
        <s v="G Sedan"/>
        <s v="G Coupe"/>
        <s v="Wagon"/>
        <s v="Minivan"/>
      </sharedItems>
    </cacheField>
    <cacheField name="transmission" numFmtId="0">
      <sharedItems>
        <s v="automatic"/>
        <s v="manual"/>
      </sharedItems>
    </cacheField>
    <cacheField name="vin" numFmtId="0">
      <sharedItems>
        <s v="19VDE1F70EE008913"/>
        <s v="5FRYD3H83EB011004"/>
        <s v="19VDE1F38EE011281"/>
        <s v="WAUHGAFC0EN062916"/>
        <s v="WAUFFAFL3EN030343"/>
        <s v="WAUCGAFRXEA001689"/>
        <s v="TRUB1AFK9E1007640"/>
        <s v="WA1LFAFPXEA085074"/>
        <s v="WAUACGFF7F1002327"/>
        <s v="WAUACGFF1F1002467"/>
        <s v="WAUACGFF6F1029938"/>
        <s v="WAURGAFD8EN003111"/>
        <s v="WA1CGAFP4EA030312"/>
        <s v="WBA6B2C53ED128866"/>
        <s v="WBA3N7C55EF719079"/>
        <s v="WBSFV9C51ED593089"/>
        <s v="WBAYP9C53ED169260"/>
        <s v="WBA6B2C51ED129563"/>
        <s v="WBAYP9C53ED169288"/>
        <s v="WBSFV9C51ED097712"/>
        <s v="WBA6B2C57ED129731"/>
        <s v="5UXFG2C53E0H11080"/>
        <s v="WBAVM1C53EVW47779"/>
        <s v="WBSFV9C54ED593085"/>
        <s v="WBAYP9C59ED169280"/>
        <s v="5UXKR0C54E0K49204"/>
        <s v="WBSFV9C55ED593080"/>
        <s v="WBAYP9C50ED169281"/>
        <s v="WBAYP9C57ED169262"/>
        <s v="WBAYP9C55ED169261"/>
        <s v="WBSFV9C56ED593069"/>
        <s v="WBA3C1C51EK116351"/>
        <s v="WBA3C1C58EK106688"/>
        <s v="WBAXA5C52ED689665"/>
        <s v="WBA5A5C51ED501631"/>
        <s v="5GAKRBKD2EJ294045"/>
        <s v="3GYFNBE32ES536307"/>
        <s v="1G6RR1E48EU601450"/>
        <s v="2G1FE1E34E9190976"/>
        <s v="1G1PC5SB2E7128460"/>
        <s v="2G1FB1E31E9248986"/>
        <s v="1G1PE5SB3E7406616"/>
        <s v="1G1PE5SB5E7115504"/>
        <s v="3GCPCRECXEG363552"/>
        <s v="1G1PE5SB4E7109323"/>
        <s v="2G1FB1E35E9238302"/>
        <s v="1GNSKKKC3FR187901"/>
        <s v="2G1FB1E35E9238493"/>
        <s v="2G1FB1E33E9211499"/>
        <s v="1G1PE5SB8E7420706"/>
        <s v="3GCUKREC9EG452373"/>
        <s v="1G1PC5SB2E7105471"/>
        <s v="2G1FA1E39E9134494"/>
        <s v="2G1FB1E37E9270877"/>
        <s v="1G11D5SL6FU106427"/>
        <s v="1G1PE5SB0E7134820"/>
        <s v="2G1FB3D37E9218789"/>
        <s v="1G1PE5SB6E7118217"/>
        <s v="1G1PE5SB4E7102937"/>
        <s v="2G1165S30F9103921"/>
        <s v="3FA6P0H7XFR151689"/>
        <s v="3FA6P0HDXFR145753"/>
        <s v="5NPDH4AE2FH565969"/>
        <s v="5NPDH4AE8FH565992"/>
        <s v="KM8SRDHF0DU002596"/>
        <s v="KMHGC4DH7DU220016"/>
        <s v="KMHDH4AE9DU490167"/>
        <s v="KM8SRDHF8DU000644"/>
        <s v="5NPDH4AE5DH342001"/>
        <s v="5NPDH4AE9DH235016"/>
        <s v="KMHEC4A46DA091860"/>
        <s v="5XYZTDLB9DG057378"/>
        <s v="KM8SR4HF7DU008024"/>
        <s v="KMHEC4A48DA092248"/>
        <s v="5NPDH4AE8DH345667"/>
        <s v="5XYZW3LA5DG114166"/>
        <s v="5NPEC4AC2DH608074"/>
        <s v="KMHTC6AE4DU168333"/>
        <s v="KMHDH6AE8DU000216"/>
        <s v="KMHEC4A41DA089739"/>
        <s v="KMHCT5AE4DU128991"/>
        <s v="5NPDH4AE4DH388614"/>
        <s v="KMHFG4JGXDA201053"/>
        <s v="5XYZWDLA8DG094937"/>
        <s v="5NPDH4AE0DH320214"/>
        <s v="KMHEC4A46DA091339"/>
        <s v="KM8JU3AC4DU587297"/>
        <s v="KMHDH4AE2DU972303"/>
        <s v="KMHFG4JG8DA325905"/>
        <s v="KMHEC4A49DA092260"/>
        <s v="KMHFH4JG7DA330493"/>
        <s v="KMHGC4DH8DU258211"/>
        <s v="KMHGH4JH3DU064689"/>
        <s v="5NPDH4AE7DH327127"/>
        <s v="KMHDH4AE7DU946909"/>
        <s v="KMHTC6AE3DU146243"/>
        <s v="KMHEC4A4XDA091084"/>
        <s v="5NPEB4AC3DH722331"/>
        <s v="KMHFH4JG5DA257916"/>
        <s v="KMHEC4A4XDA091246"/>
        <s v="KMHCT4AE6DU523099"/>
        <s v="KMHCU5AE2DU138898"/>
        <s v="KMHGC4DD2DU221961"/>
        <s v="5XYZU3LAXDG105372"/>
        <s v="KMHDH4AE4DU797598"/>
        <s v="KMHGC4DD0DU214801"/>
        <s v="5NPDH4AE9DH243696"/>
        <s v="5XYZWDLA5DG083054"/>
        <s v="KMHCU5AE3DU079747"/>
        <s v="KMHEC4A46DA093060"/>
        <s v="5NPEB4ACXDH740633"/>
        <s v="KMHTC6AD7DU089181"/>
        <s v="5NPDH4AE7DH345708"/>
        <s v="5NPEB4AC2DH745910"/>
        <s v="KM8SR4HF1DU031590"/>
        <s v="KMHHU6KJ0DU110296"/>
        <s v="KMHEC4A48DA091908"/>
        <s v="KMHGC4DH6DU220492"/>
        <s v="KM8JU3AC6DU590752"/>
        <s v="KMHEC4A46DA099621"/>
        <s v="KMHDH4AEXDU731797"/>
        <s v="KMHEC4A40DA092843"/>
        <s v="5NPDH4AE7DH225536"/>
        <s v="KMHGC4DD7DU226203"/>
        <s v="5XYZU3LA5DG079070"/>
        <s v="5NPEC4AC9DH600084"/>
        <s v="5NPDH4AEXDH317398"/>
        <s v="5NPDH4AE4DH327134"/>
        <s v="5NPDH4AE0DH335103"/>
        <s v="KMHCT4AE3DU421257"/>
        <s v="5NPEB4AC9DH760050"/>
        <s v="5NPDH4AE0DH344075"/>
        <s v="5NPDH4AE8DH375848"/>
        <s v="5NPEB4AC7DH680813"/>
        <s v="5NPDH4AE5DH363852"/>
        <s v="5NPEB4ACXDH745962"/>
        <s v="5NPEB4AC3DH734477"/>
        <s v="5NPEB4AC5DH682009"/>
        <s v="KMHCT4AE4DU422188"/>
        <s v="5NPDH4AE0DH356789"/>
        <s v="5NPEB4AC8DH687043"/>
        <s v="5NPDH4AE4FH552981"/>
        <s v="5NPDH4AE8DH348469"/>
        <s v="5NPEB4AC9DH691294"/>
        <s v="5NPEB4AC4DH712021"/>
        <s v="5NPEB4AC5DH771160"/>
        <s v="5NPDH4AE0DH358462"/>
        <s v="5NPEB4AC5DH743407"/>
        <s v="5NPEB4AC6DH743092"/>
        <s v="5NPDH4AE0FH574105"/>
        <s v="5NPDH4AE4DH385955"/>
        <s v="5NPEB4ACXDH744455"/>
        <s v="5NPEB4ACXDH752037"/>
        <s v="5NPEB4AC5DH745416"/>
        <s v="5NPDH4AE1DH345719"/>
        <s v="5NPDH4AE2DH375957"/>
        <s v="KMHCT5AE8DU091850"/>
        <s v="5NPEB4AC5DH648748"/>
        <s v="KMHCT4AE9DU436426"/>
        <s v="5NPDH4AE7DH339679"/>
        <s v="KMHGH4JH5DU065956"/>
        <s v="5NPEB4AC1DH733036"/>
        <s v="5NPEB4AC1DH680502"/>
        <s v="5XYZTDLB2DG045704"/>
        <s v="5NPEC4AC6DH513954"/>
        <s v="KMHGH4JH9DU063479"/>
        <s v="5NPDH4AEXDH303629"/>
        <s v="5NPDH4AE2FH566023"/>
        <s v="KMHDH6AE8DU017422"/>
        <s v="KMHEC4A40DA089523"/>
        <s v="5NPEB4AC0DH721038"/>
        <s v="5NPDH4AE2DH264292"/>
        <s v="5NPEB4AC7DH636875"/>
        <s v="5NPEC4AB6DH539798"/>
        <s v="JN1CV6APXDM713003"/>
        <s v="JN1CV6AP3DM711108"/>
        <s v="JN1CV6EK1DM921866"/>
        <s v="JN1CV6AP5DM713782"/>
        <s v="JN1CV6EK0DM921180"/>
        <s v="JN1CV6AR7DM351570"/>
        <s v="JN1CV6AP3DM720746"/>
        <s v="JN1CV6AP4DM712848"/>
        <s v="JN1CV6APXDM715446"/>
        <s v="JN1CV6AP5DM715158"/>
        <s v="JN1CV6AP0DM712524"/>
        <s v="JN1CV6APXDM712482"/>
        <s v="JN1CV6EK9DM921386"/>
        <s v="JN1CV6APXDM717651"/>
        <s v="JN1CV6AP0DM714760"/>
        <s v="JN1CV6AP2DM714338"/>
        <s v="JN1CV6AP5DM715922"/>
        <s v="5N1AL0MM4DC337764"/>
        <s v="JN1CV6EL5DM980105"/>
        <s v="JN1CV6AP1DM301617"/>
        <s v="JN1CV6AP9DM300540"/>
        <s v="JN1CV6EK4DM921604"/>
        <s v="JN1CV6AP3DM726059"/>
        <s v="JN1CV6APXDM714541"/>
        <s v="JN1CV6EK8DM920763"/>
        <s v="JN1CV6EK8DM900321"/>
        <s v="JN1CV6AP5DM714009"/>
        <s v="JN1CV6AP5DM713958"/>
        <s v="JN8CS1MU2DM140046"/>
        <s v="JN1CV6EK0DM900927"/>
        <s v="JN1CV6AP9DM712232"/>
        <s v="JN1CV6EK0DM920093"/>
        <s v="JN1CV6AP0DM725418"/>
        <s v="JN1CV6AP2DM714887"/>
        <s v="JN1CV6AP2DM712055"/>
        <s v="JN1CV6AP5DM713801"/>
        <s v="JN1CV6AP2DM712170"/>
        <s v="JN1CV6APXDM712417"/>
        <s v="JN1CV6AP4DM303216"/>
        <s v="JN1CV6AP9DM300442"/>
        <s v="JN1CV6APXDM712403"/>
        <s v="JN1CV6AP8DM717292"/>
        <s v="JN1CV6AP6DM714973"/>
        <s v="JN1CV6AP9DM719505"/>
        <s v="JN1CV6AP8DM711170"/>
        <s v="JN1CV6EK3DM921383"/>
        <s v="JN1CV6EKXDM920134"/>
        <s v="JN1CV6AP4DM301420"/>
        <s v="JN1CV6AP0DM711499"/>
        <s v="JN1CV6AP1DM712628"/>
        <s v="JN1CV6AP8DM716627"/>
        <s v="JN1CV6AP3DM713263"/>
        <s v="JN1CV6AP6DM711376"/>
        <s v="JN1CV6AP7DM711712"/>
        <s v="JN1CV6EK2DM920760"/>
        <s v="JN1CV6APXDM714507"/>
        <s v="JN1CV6AP0DM713933"/>
        <s v="JN1CV6AP4DM302678"/>
        <s v="JN1CV6AP3DM301392"/>
        <s v="JN1CV6EK5DM920106"/>
        <s v="JN1CV6APXDM714605"/>
        <s v="JN1CV6AP7DM713816"/>
        <s v="JN1CV6AP1DM712273"/>
        <s v="JN1CV6AP5DM721977"/>
        <s v="JN1CV6AP3DM710802"/>
        <s v="JN1CV6AP4DM715250"/>
        <s v="JN1CV6AP0DM714516"/>
        <s v="JN1CV6APXDM300417"/>
        <s v="JN1CV6AP3DM714428"/>
        <s v="JN1CV6EK7DM921385"/>
        <s v="JN1CV6AP2DM714792"/>
        <s v="JN1CV6EK3DM920766"/>
        <s v="JN1CV6AP1DM719644"/>
        <s v="JN1CV6APXDM710375"/>
        <s v="JN1CV6AP8DM301100"/>
        <s v="JN1CV6AP8DM712058"/>
        <s v="JN1CV6EKXDM921560"/>
        <s v="JN1CV6AP1DM714069"/>
        <s v="JN1CV6EK5DM900664"/>
        <s v="JN1CV6AP9DM713509"/>
        <s v="JN1CV6AP6DM715699"/>
        <s v="JN1CV6AP9DM716121"/>
        <s v="JN1CV6AP5DM720571"/>
        <s v="JN1CV6AP7DM301475"/>
        <s v="JN1CV6AP1DM711625"/>
        <s v="JN1CV6AP1DM716758"/>
        <s v="JN1CV6AP0DM300670"/>
        <s v="JN1CV6APXDM714264"/>
        <s v="JN1CV6AP3DM719922"/>
        <s v="JN1CV6AP6DM712365"/>
        <s v="JN1CV6AP5DM711210"/>
        <s v="JN1CV6AP0DM711549"/>
        <s v="JN1CV6AP3DM710234"/>
        <s v="JN1CV6AP3DM710394"/>
        <s v="JN1CV6AP7DM710365"/>
        <s v="JN1CV6APXDM714880"/>
        <s v="JN1CV6AP3DM713554"/>
        <s v="JN1CV6AP5DM713250"/>
        <s v="JN1CV6AP7DM716733"/>
        <s v="JN1CV6AP4DM712607"/>
        <s v="JN1CV6EK5DM920784"/>
        <s v="JN1CV6EK5DM920672"/>
        <s v="JN1CV6AP1DM711334"/>
        <s v="JN1CV6AP4DM714969"/>
        <s v="JN1CV6AP9DM714417"/>
        <s v="JN1CV6AP8DM715803"/>
        <s v="JN1CV6AP8DM712593"/>
        <s v="JN1CV6AP3DM713666"/>
        <s v="JN1CV6AP3DM712825"/>
        <s v="JN1CV6AP2DM712928"/>
        <s v="JN1CV6AP2DM712931"/>
        <s v="JN1CV6AP9DM712909"/>
        <s v="JN1CV6AR0DM750465"/>
        <s v="JN1CV6AR5DM750574"/>
        <s v="JN1BY1AP3DM514252"/>
        <s v="JN1CV6ARXDM750005"/>
        <s v="JN1CV6AP6DM712706"/>
        <s v="JN1CV6AP1DM300564"/>
        <s v="JN1CV6EK1DM920250"/>
        <s v="JN1BY1AP2DM514632"/>
        <s v="JN1BY1AP6DM514665"/>
        <s v="JN1CV6AP8DM716708"/>
        <s v="JN1CV6APXDM712658"/>
        <s v="JN1CV6AP5DM714785"/>
        <s v="JN1CV6AP9DM715258"/>
        <s v="JN8CS1MW7DM174050"/>
        <s v="JN1CV6AP2DM712489"/>
        <s v="JN1CV6AP0DM712653"/>
        <s v="JN1CV6AR5DM350059"/>
        <s v="JN1CV6EK2DM923402"/>
        <s v="JN1CV6AP9DM711176"/>
        <s v="JN1BY1AP5DM514530"/>
        <s v="SAJWA0ES1DPS79829"/>
        <s v="SAJWA0ES4DPS64029"/>
        <s v="1C4BJWFG4DL585036"/>
        <s v="1C4RJEBG1DC636460"/>
        <s v="1C4NJCEB2DD229860"/>
        <s v="1C4NJCEB7DD255239"/>
        <s v="1C4HJWEG8DL539625"/>
        <s v="1C4HJWDG9DL604791"/>
        <s v="1C4HJWDG3DL620646"/>
        <s v="5XXGM4A73FG353538"/>
        <s v="5XYKT3A62FG579841"/>
        <s v="5XXGM4A72DG248132"/>
        <s v="KNDJT2A54D7539154"/>
        <s v="5XXGR4A68DG228640"/>
        <s v="KNADN5A32D6147221"/>
        <s v="KNDJT2A64D7494239"/>
        <s v="KNADM5A38D6292461"/>
        <s v="5XXGM4A70DG226694"/>
        <s v="KNAGM4A75D5442817"/>
        <s v="5XXGR4A61DG178423"/>
        <s v="KNAFU4A20D5658140"/>
        <s v="5XYKTCA69FG566472"/>
        <s v="5XYKTCA69FG561319"/>
        <s v="5XYKTCA66FG561407"/>
        <s v="5XYKTCA60FG565226"/>
        <s v="5XYKTCA68FG559481"/>
        <s v="5XYKTCA67FG570973"/>
        <s v="5XYKTCA63FG570727"/>
        <s v="5XYKTCA6XFG560888"/>
        <s v="5XYKTCA68FG570979"/>
        <s v="5XYKTCA65FG571619"/>
        <s v="5XYKTCA64FG570963"/>
        <s v="5XYKTCA60FG563086"/>
        <s v="5XYKTCA67FG567068"/>
        <s v="5XYKTCA64FG570672"/>
        <s v="5XYKTCA60FG570829"/>
        <s v="5XYKTCA61FG560973"/>
        <s v="5XYKTCA61FG566806"/>
        <s v="KNAGM4AD1D5057809"/>
        <s v="KNAGM4AD9D5054379"/>
        <s v="KNAGM4AD6D5055554"/>
        <s v="5XYKTDA2XDG322880"/>
        <s v="KNAGM4AD4D5057867"/>
        <s v="KNADM4A35D6233930"/>
        <s v="KNAGM4AD0D5055811"/>
        <s v="KNAGM4AD1D5055882"/>
        <s v="KNAGM4AD0D5057798"/>
        <s v="KNAGM4AD8D5056639"/>
        <s v="KNDPB3A28D7450308"/>
        <s v="5XYKU3A23DG334585"/>
        <s v="5XYKT4A22DG332853"/>
        <s v="5XXGN4A7XDG106558"/>
        <s v="KNDJT2A68D7570612"/>
        <s v="5XXGR4A65DG171118"/>
        <s v="5XYKW4A26DG339716"/>
        <s v="KNADM4A3XD6124671"/>
        <s v="KNDPBCA25D7406217"/>
        <s v="5XXGM4A7XDG238335"/>
        <s v="5XXGM4A7XDG214617"/>
        <s v="KNADM4A31D6173631"/>
        <s v="KNAFT4A28D5738465"/>
        <s v="KNADM4A34D6310898"/>
        <s v="KNADN5A33D6283020"/>
        <s v="5XXGR4A6XDG089207"/>
        <s v="KNAFU4A22D5724414"/>
        <s v="KNDJT2A60D7538561"/>
        <s v="KNADM4A36D6256603"/>
        <s v="KNAFT4A26D5682378"/>
        <s v="KNAFT4A2XD5718881"/>
        <s v="5XXGR4A61DG171696"/>
        <s v="KNADM4A3XD6113380"/>
        <s v="KNALW4D42F6018633"/>
        <s v="5XXGR4A64DG097254"/>
        <s v="KNALW4D42F6019667"/>
        <s v="SALVP2BG5DH781072"/>
        <s v="SALVP1BG7DH775994"/>
        <s v="SALAK2D48DA693027"/>
        <s v="SALVR2BG6DH755364"/>
        <s v="SALSH2E49DA763586"/>
        <s v="2T2BK1BA8DC191589"/>
        <s v="JTHBK1GG3D2061489"/>
        <s v="JTHBE1BL9D5002103"/>
        <s v="JTHBE1BL4D5006057"/>
        <s v="JTHBK1GG1D2049728"/>
        <s v="JTHBE1BL4D5001280"/>
        <s v="2T2ZK1BA7FC155782"/>
        <s v="JTHGL1EFXD5047925"/>
        <s v="JTHBE1BL6D5006836"/>
        <s v="JTHBE1BL4D5013929"/>
        <s v="2LMDJ8JK9DBL34528"/>
        <s v="JM1DE1LZ0D0160159"/>
        <s v="JM1BL1VP7D1768022"/>
        <s v="JM1CW2CL1D0150492"/>
        <s v="JM1BL1UPXD1794194"/>
        <s v="JM3TB2CV0D0411079"/>
        <s v="JM1CW2BL1D0154950"/>
        <s v="JM1CW2BL6D0159321"/>
        <s v="JM1BL1UP7D1731716"/>
        <s v="JM1CW2BL0D0149559"/>
        <s v="JM1BL1TG8D1728177"/>
        <s v="JM3TB2CA2D0403904"/>
        <s v="JM1DE1KZ8D0152764"/>
        <s v="JM1CW2CL5D0150799"/>
        <s v="JM1CW2BL4D0152478"/>
        <s v="JM3TB3CV9D0410440"/>
        <s v="JM3TB2CV8D0412139"/>
        <s v="WDDGF4HB0DR255362"/>
        <s v="WDDGF4HB8DR256694"/>
        <s v="WDCGG5HB6DF956724"/>
        <s v="4JGDF7CE3DA182451"/>
        <s v="4JGDF7CE8DA148599"/>
        <s v="WDDNG7DB5DA525549"/>
        <s v="WDDGF4HB8DA832718"/>
        <s v="WDDNG7DB9DA492877"/>
        <s v="4JGDA5JB8DA218923"/>
        <s v="WDDNG7DB8DA497438"/>
        <s v="WDDGF4HB2DR241947"/>
        <s v="WDDHF5KB1DA703044"/>
        <s v="WDDKJ5KB4DF191416"/>
        <s v="WDDHF5KB6DA718574"/>
        <s v="WDDGF4HB3DR256859"/>
        <s v="WDDHF5KB8DA762334"/>
        <s v="WDDGJ4HBXDF943918"/>
        <s v="WDDGJ4HBXDG003743"/>
        <s v="WDDGJ4HB6DF988399"/>
        <s v="WDDNG7DB5DA496778"/>
        <s v="WDDGJ4HB5DF998504"/>
        <s v="WDDNG7DB2DA502214"/>
        <s v="WDDNG7DB3DA492051"/>
        <s v="WDDNG7DB4DA498361"/>
        <s v="WMWZF3C54DT489938"/>
        <s v="WMWSU3C59DT548117"/>
        <s v="WMWZF3C50DT489905"/>
        <s v="WMWSU3C58DT546181"/>
        <s v="WMWZB3C52DWM07005"/>
        <s v="4A4AR5AU4DE024456"/>
        <s v="JA4JT3AW9DU020286"/>
        <s v="JA4JT3AW7DU019962"/>
        <s v="JA4JT3AW4DU020776"/>
        <s v="JA32U2FU2DU019813"/>
        <s v="JA4JT3AW5DU020785"/>
        <s v="JA32V6FV9DU003475"/>
        <s v="1N4AL3AP6DC903319"/>
        <s v="1N4AL3AP3DN535427"/>
        <s v="1N4AL3AP4DN454940"/>
        <s v="1N4AL3AP9DC280391"/>
        <s v="1N4AL3AP5DC205039"/>
        <s v="JN1AZ4FH8DM790096"/>
        <s v="1N4AL3AP0DN511313"/>
        <s v="1N4AL3AP2DN571447"/>
        <s v="JN1AZ4EH8DM881810"/>
        <s v="1N4AL2EP0DC290165"/>
        <s v="1N4AL3AP0DC283888"/>
        <s v="1N4AL3AP8DN508594"/>
        <s v="1N4AL3AP3DC208697"/>
        <s v="3N1CN7AP7FL842707"/>
        <s v="1N4AL3AP2DC275940"/>
        <s v="1N4AL3AP1DN536852"/>
        <s v="1N4AL3APXDN538325"/>
        <s v="1N4AL3AP4DC259156"/>
        <s v="1N4AL3AP5DN450766"/>
        <s v="1N4AL2EP2DC219971"/>
        <s v="1N4AL3AP5DC259084"/>
        <s v="1N4AL2EP3DC223558"/>
        <s v="1N4AL3AP8DC187703"/>
        <s v="1N4AL3AP8DC261914"/>
        <s v="1N4AL3APXDC256245"/>
        <s v="1N4AL3AP2DC297887"/>
        <s v="1N4AL3AP5FC124223"/>
        <s v="1N4AL2EP0DC231309"/>
        <s v="JN8AF5MV4DT218618"/>
        <s v="1N4AL3AP1FN326013"/>
        <s v="1N4AL3AP1FN331213"/>
        <s v="1N4AL3AP4DN548218"/>
        <s v="1N4AL3AP4FN310470"/>
        <s v="1N4AL3AP1DC259891"/>
        <s v="1N4AL3AP6DN518833"/>
        <s v="1N4AL3AP5DC262583"/>
        <s v="1N4AL2EP6DC191432"/>
        <s v="3N1CE2CP8FL371361"/>
        <s v="5YFBU4EE5DP216754"/>
        <s v="5TDKK3DC4DS344460"/>
        <s v="JTDKTUD33DD552876"/>
        <s v="1VWBP7A36DC103091"/>
        <s v="YV4940DL7D2432124"/>
        <s v="YV1612SB9F1202043"/>
        <s v="YV1612SB1F1201503"/>
        <s v="YV1612SBXF1202276"/>
        <s v="YV1612SB6F1202338"/>
        <s v="YV1612SB2F1201221"/>
        <s v="YV1612TB4F1310987"/>
        <s v="YV4902NB3F1196951"/>
        <s v="YV4902NB3F1198103"/>
        <s v="YV1612SB8F1201529"/>
      </sharedItems>
    </cacheField>
    <cacheField name="state" numFmtId="0">
      <sharedItems>
        <s v="CA"/>
      </sharedItems>
    </cacheField>
    <cacheField name="condition" numFmtId="0">
      <sharedItems containsSemiMixedTypes="0" containsString="0" containsNumber="1" containsInteger="1">
        <n v="25.0"/>
        <n v="49.0"/>
        <n v="41.0"/>
        <n v="48.0"/>
        <n v="42.0"/>
        <n v="38.0"/>
        <n v="28.0"/>
        <n v="5.0"/>
        <n v="2.0"/>
        <n v="43.0"/>
        <n v="29.0"/>
        <n v="37.0"/>
        <n v="34.0"/>
        <n v="47.0"/>
        <n v="4.0"/>
        <n v="32.0"/>
        <n v="45.0"/>
        <n v="1.0"/>
        <n v="44.0"/>
        <n v="31.0"/>
        <n v="17.0"/>
        <n v="3.0"/>
        <n v="19.0"/>
        <n v="26.0"/>
        <n v="46.0"/>
        <n v="36.0"/>
        <n v="39.0"/>
        <n v="24.0"/>
        <n v="35.0"/>
        <n v="33.0"/>
        <n v="21.0"/>
        <n v="27.0"/>
        <n v="22.0"/>
        <n v="23.0"/>
      </sharedItems>
    </cacheField>
    <cacheField name="odometer" numFmtId="0">
      <sharedItems containsSemiMixedTypes="0" containsString="0" containsNumber="1" containsInteger="1">
        <n v="9051.0"/>
        <n v="21523.0"/>
        <n v="12905.0"/>
        <n v="14414.0"/>
        <n v="9557.0"/>
        <n v="5875.0"/>
        <n v="3996.0"/>
        <n v="7983.0"/>
        <n v="5826.0"/>
        <n v="1906.0"/>
        <n v="31.0"/>
        <n v="32918.0"/>
        <n v="9606.0"/>
        <n v="37752.0"/>
        <n v="18152.0"/>
        <n v="14943.0"/>
        <n v="8819.0"/>
        <n v="7305.0"/>
        <n v="8891.0"/>
        <n v="7766.0"/>
        <n v="2641.0"/>
        <n v="379.0"/>
        <n v="19689.0"/>
        <n v="13386.0"/>
        <n v="15727.0"/>
        <n v="4503.0"/>
        <n v="15161.0"/>
        <n v="13205.0"/>
        <n v="10736.0"/>
        <n v="8037.0"/>
        <n v="16360.0"/>
        <n v="1331.0"/>
        <n v="9027.0"/>
        <n v="12292.0"/>
        <n v="25969.0"/>
        <n v="14599.0"/>
        <n v="8683.0"/>
        <n v="4436.0"/>
        <n v="7924.0"/>
        <n v="28617.0"/>
        <n v="20595.0"/>
        <n v="10673.0"/>
        <n v="37938.0"/>
        <n v="6726.0"/>
        <n v="36771.0"/>
        <n v="11874.0"/>
        <n v="11426.0"/>
        <n v="9914.0"/>
        <n v="17594.0"/>
        <n v="8154.0"/>
        <n v="9685.0"/>
        <n v="37888.0"/>
        <n v="13441.0"/>
        <n v="13606.0"/>
        <n v="6105.0"/>
        <n v="39623.0"/>
        <n v="4809.0"/>
        <n v="40661.0"/>
        <n v="40560.0"/>
        <n v="14538.0"/>
        <n v="4205.0"/>
        <n v="5559.0"/>
        <n v="7879.0"/>
        <n v="7800.0"/>
        <n v="14974.0"/>
        <n v="21463.0"/>
        <n v="56651.0"/>
        <n v="11439.0"/>
        <n v="37436.0"/>
        <n v="2606.0"/>
        <n v="16386.0"/>
        <n v="20663.0"/>
        <n v="13225.0"/>
        <n v="13736.0"/>
        <n v="25442.0"/>
        <n v="17367.0"/>
        <n v="18479.0"/>
        <n v="10474.0"/>
        <n v="11809.0"/>
        <n v="8595.0"/>
        <n v="9927.0"/>
        <n v="25960.0"/>
        <n v="34566.0"/>
        <n v="10747.0"/>
        <n v="42798.0"/>
        <n v="16684.0"/>
        <n v="19109.0"/>
        <n v="10564.0"/>
        <n v="16132.0"/>
        <n v="17831.0"/>
        <n v="19152.0"/>
        <n v="12154.0"/>
        <n v="11566.0"/>
        <n v="29006.0"/>
        <n v="8559.0"/>
        <n v="8467.0"/>
        <n v="9539.0"/>
        <n v="44135.0"/>
        <n v="6552.0"/>
        <n v="22143.0"/>
        <n v="33078.0"/>
        <n v="6747.0"/>
        <n v="20952.0"/>
        <n v="15758.0"/>
        <n v="35963.0"/>
        <n v="19893.0"/>
        <n v="19035.0"/>
        <n v="14076.0"/>
        <n v="27387.0"/>
        <n v="8495.0"/>
        <n v="22033.0"/>
        <n v="27532.0"/>
        <n v="33158.0"/>
        <n v="35518.0"/>
        <n v="15160.0"/>
        <n v="12730.0"/>
        <n v="11798.0"/>
        <n v="35995.0"/>
        <n v="32413.0"/>
        <n v="20.0"/>
        <n v="21579.0"/>
        <n v="13162.0"/>
        <n v="13871.0"/>
        <n v="11041.0"/>
        <n v="66.0"/>
        <n v="10241.0"/>
        <n v="41710.0"/>
        <n v="36307.0"/>
        <n v="37759.0"/>
        <n v="41841.0"/>
        <n v="34745.0"/>
        <n v="38170.0"/>
        <n v="38594.0"/>
        <n v="40322.0"/>
        <n v="38388.0"/>
        <n v="40045.0"/>
        <n v="37499.0"/>
        <n v="48510.0"/>
        <n v="35828.0"/>
        <n v="26412.0"/>
        <n v="32387.0"/>
        <n v="3367.0"/>
        <n v="39935.0"/>
        <n v="54830.0"/>
        <n v="36416.0"/>
        <n v="28231.0"/>
        <n v="37290.0"/>
        <n v="36194.0"/>
        <n v="36991.0"/>
        <n v="6759.0"/>
        <n v="36957.0"/>
        <n v="41888.0"/>
        <n v="39062.0"/>
        <n v="40593.0"/>
        <n v="42006.0"/>
        <n v="35824.0"/>
        <n v="15813.0"/>
        <n v="25895.0"/>
        <n v="34136.0"/>
        <n v="41481.0"/>
        <n v="7755.0"/>
        <n v="37060.0"/>
        <n v="50160.0"/>
        <n v="41783.0"/>
        <n v="35428.0"/>
        <n v="22961.0"/>
        <n v="24120.0"/>
        <n v="10551.0"/>
        <n v="999999.0"/>
        <n v="11099.0"/>
        <n v="37154.0"/>
        <n v="13505.0"/>
        <n v="47516.0"/>
        <n v="45991.0"/>
        <n v="10929.0"/>
        <n v="18420.0"/>
        <n v="12735.0"/>
        <n v="26792.0"/>
        <n v="16219.0"/>
        <n v="42887.0"/>
        <n v="42547.0"/>
        <n v="25859.0"/>
        <n v="24971.0"/>
        <n v="23507.0"/>
        <n v="19551.0"/>
        <n v="23156.0"/>
        <n v="13661.0"/>
        <n v="17916.0"/>
        <n v="9373.0"/>
        <n v="20408.0"/>
        <n v="36931.0"/>
        <n v="37738.0"/>
        <n v="10055.0"/>
        <n v="48156.0"/>
        <n v="21898.0"/>
        <n v="14716.0"/>
        <n v="68.0"/>
        <n v="24112.0"/>
        <n v="4859.0"/>
        <n v="21126.0"/>
        <n v="26675.0"/>
        <n v="19978.0"/>
        <n v="10532.0"/>
        <n v="20317.0"/>
        <n v="26888.0"/>
        <n v="7815.0"/>
        <n v="11250.0"/>
        <n v="16154.0"/>
        <n v="22405.0"/>
        <n v="28172.0"/>
        <n v="18600.0"/>
        <n v="11440.0"/>
        <n v="15208.0"/>
        <n v="29672.0"/>
        <n v="22165.0"/>
        <n v="21263.0"/>
        <n v="11847.0"/>
        <n v="15562.0"/>
        <n v="22021.0"/>
        <n v="16338.0"/>
        <n v="15131.0"/>
        <n v="28053.0"/>
        <n v="19587.0"/>
        <n v="20246.0"/>
        <n v="23104.0"/>
        <n v="5017.0"/>
        <n v="25132.0"/>
        <n v="14887.0"/>
        <n v="17090.0"/>
        <n v="24031.0"/>
        <n v="26396.0"/>
        <n v="16854.0"/>
        <n v="14486.0"/>
        <n v="19492.0"/>
        <n v="19368.0"/>
        <n v="25635.0"/>
        <n v="26907.0"/>
        <n v="14765.0"/>
        <n v="18673.0"/>
        <n v="16009.0"/>
        <n v="15260.0"/>
        <n v="20976.0"/>
        <n v="22294.0"/>
        <n v="30556.0"/>
        <n v="29731.0"/>
        <n v="13321.0"/>
        <n v="23420.0"/>
        <n v="28875.0"/>
        <n v="21557.0"/>
        <n v="20067.0"/>
        <n v="22354.0"/>
        <n v="28920.0"/>
        <n v="16605.0"/>
        <n v="28127.0"/>
        <n v="22828.0"/>
        <n v="23097.0"/>
        <n v="15802.0"/>
        <n v="27333.0"/>
        <n v="20263.0"/>
        <n v="28694.0"/>
        <n v="30464.0"/>
        <n v="10610.0"/>
        <n v="19573.0"/>
        <n v="20202.0"/>
        <n v="17541.0"/>
        <n v="23470.0"/>
        <n v="29782.0"/>
        <n v="10993.0"/>
        <n v="18921.0"/>
        <n v="17672.0"/>
        <n v="16486.0"/>
        <n v="11596.0"/>
        <n v="16153.0"/>
        <n v="9785.0"/>
        <n v="26843.0"/>
        <n v="18548.0"/>
        <n v="25016.0"/>
        <n v="9535.0"/>
        <n v="23481.0"/>
        <n v="13273.0"/>
        <n v="16833.0"/>
        <n v="20070.0"/>
        <n v="13632.0"/>
        <n v="20432.0"/>
        <n v="33838.0"/>
        <n v="19683.0"/>
        <n v="37527.0"/>
        <n v="23642.0"/>
        <n v="9338.0"/>
        <n v="46548.0"/>
        <n v="35450.0"/>
        <n v="13149.0"/>
        <n v="19058.0"/>
        <n v="9810.0"/>
        <n v="8691.0"/>
        <n v="32635.0"/>
        <n v="17337.0"/>
        <n v="24054.0"/>
        <n v="14264.0"/>
        <n v="40087.0"/>
        <n v="20707.0"/>
        <n v="32437.0"/>
        <n v="40101.0"/>
        <n v="6802.0"/>
        <n v="29907.0"/>
        <n v="6787.0"/>
        <n v="10067.0"/>
        <n v="6891.0"/>
        <n v="9153.0"/>
        <n v="39566.0"/>
        <n v="32090.0"/>
        <n v="31688.0"/>
        <n v="41173.0"/>
        <n v="41997.0"/>
        <n v="42482.0"/>
        <n v="2034.0"/>
        <n v="5214.0"/>
        <n v="14061.0"/>
        <n v="11699.0"/>
        <n v="14012.0"/>
        <n v="4668.0"/>
        <n v="59886.0"/>
        <n v="4850.0"/>
        <n v="8177.0"/>
        <n v="13929.0"/>
        <n v="11238.0"/>
        <n v="33980.0"/>
        <n v="16639.0"/>
        <n v="9393.0"/>
        <n v="14634.0"/>
        <n v="13757.0"/>
        <n v="12862.0"/>
        <n v="13878.0"/>
        <n v="10357.0"/>
        <n v="14176.0"/>
        <n v="9161.0"/>
        <n v="11001.0"/>
        <n v="13452.0"/>
        <n v="16348.0"/>
        <n v="9552.0"/>
        <n v="13711.0"/>
        <n v="10615.0"/>
        <n v="13031.0"/>
        <n v="16611.0"/>
        <n v="16045.0"/>
        <n v="11757.0"/>
        <n v="19543.0"/>
        <n v="48050.0"/>
        <n v="19078.0"/>
        <n v="22658.0"/>
        <n v="18554.0"/>
        <n v="21258.0"/>
        <n v="20984.0"/>
        <n v="21642.0"/>
        <n v="32685.0"/>
        <n v="71662.0"/>
        <n v="28790.0"/>
        <n v="24614.0"/>
        <n v="39476.0"/>
        <n v="24131.0"/>
        <n v="20209.0"/>
        <n v="31406.0"/>
        <n v="40331.0"/>
        <n v="26360.0"/>
        <n v="35707.0"/>
        <n v="37213.0"/>
        <n v="54978.0"/>
        <n v="13508.0"/>
        <n v="11342.0"/>
        <n v="67229.0"/>
        <n v="55885.0"/>
        <n v="48270.0"/>
        <n v="36667.0"/>
        <n v="81410.0"/>
        <n v="39081.0"/>
        <n v="38247.0"/>
        <n v="45800.0"/>
        <n v="9684.0"/>
        <n v="30333.0"/>
        <n v="5304.0"/>
        <n v="25524.0"/>
        <n v="9214.0"/>
        <n v="2059.0"/>
        <n v="5403.0"/>
        <n v="26757.0"/>
        <n v="21932.0"/>
        <n v="20880.0"/>
        <n v="39590.0"/>
        <n v="22672.0"/>
        <n v="24478.0"/>
        <n v="42813.0"/>
        <n v="7770.0"/>
        <n v="71.0"/>
        <n v="17786.0"/>
        <n v="21189.0"/>
        <n v="39459.0"/>
        <n v="44392.0"/>
        <n v="47917.0"/>
        <n v="39272.0"/>
        <n v="45649.0"/>
        <n v="41807.0"/>
        <n v="40275.0"/>
        <n v="7787.0"/>
        <n v="39573.0"/>
        <n v="14818.0"/>
        <n v="54715.0"/>
        <n v="40884.0"/>
        <n v="24252.0"/>
        <n v="37664.0"/>
        <n v="36898.0"/>
        <n v="46733.0"/>
        <n v="44289.0"/>
        <n v="23615.0"/>
        <n v="23941.0"/>
        <n v="21052.0"/>
        <n v="26853.0"/>
        <n v="16584.0"/>
        <n v="10862.0"/>
        <n v="20161.0"/>
        <n v="24168.0"/>
        <n v="6536.0"/>
        <n v="38407.0"/>
        <n v="22984.0"/>
        <n v="31064.0"/>
        <n v="19538.0"/>
        <n v="10616.0"/>
        <n v="31978.0"/>
        <n v="4995.0"/>
        <n v="10782.0"/>
        <n v="18960.0"/>
        <n v="19780.0"/>
        <n v="33776.0"/>
        <n v="23783.0"/>
        <n v="4811.0"/>
        <n v="14557.0"/>
        <n v="38691.0"/>
        <n v="36498.0"/>
        <n v="36000.0"/>
        <n v="36764.0"/>
        <n v="42973.0"/>
        <n v="41357.0"/>
        <n v="37713.0"/>
        <n v="39473.0"/>
        <n v="36990.0"/>
        <n v="40498.0"/>
        <n v="38311.0"/>
        <n v="36071.0"/>
        <n v="27059.0"/>
        <n v="38766.0"/>
        <n v="37136.0"/>
        <n v="62381.0"/>
        <n v="38974.0"/>
        <n v="37020.0"/>
        <n v="445.0"/>
        <n v="38688.0"/>
        <n v="40931.0"/>
        <n v="10506.0"/>
        <n v="10510.0"/>
        <n v="39159.0"/>
        <n v="37182.0"/>
        <n v="21968.0"/>
        <n v="1608.0"/>
        <n v="44303.0"/>
        <n v="39364.0"/>
        <n v="35900.0"/>
        <n v="38395.0"/>
        <n v="48463.0"/>
        <n v="42938.0"/>
        <n v="40425.0"/>
        <n v="36975.0"/>
        <n v="38666.0"/>
        <n v="45568.0"/>
        <n v="38444.0"/>
        <n v="45685.0"/>
        <n v="11398.0"/>
        <n v="33985.0"/>
        <n v="38134.0"/>
        <n v="5554.0"/>
        <n v="4314.0"/>
        <n v="37395.0"/>
        <n v="12752.0"/>
        <n v="47601.0"/>
        <n v="43262.0"/>
        <n v="35591.0"/>
        <n v="38530.0"/>
        <n v="5773.0"/>
        <n v="34915.0"/>
        <n v="49188.0"/>
        <n v="28412.0"/>
        <n v="22907.0"/>
        <n v="34933.0"/>
        <n v="11846.0"/>
        <n v="12242.0"/>
        <n v="10906.0"/>
        <n v="14806.0"/>
        <n v="12273.0"/>
        <n v="14282.0"/>
        <n v="12725.0"/>
        <n v="16506.0"/>
        <n v="13623.0"/>
      </sharedItems>
    </cacheField>
    <cacheField name="color" numFmtId="0">
      <sharedItems>
        <s v="Gray"/>
        <s v="White"/>
        <s v="Silver"/>
        <s v="Black"/>
        <s v="Red"/>
        <s v="Blue"/>
        <s v="Gold"/>
        <s v="Yellow"/>
        <s v="Beige"/>
        <s v="Green"/>
        <s v="Brown"/>
        <s v="Burgundy"/>
        <s v="Purple"/>
        <s v="Charcoal"/>
      </sharedItems>
    </cacheField>
    <cacheField name="interior" numFmtId="0">
      <sharedItems>
        <s v="Black"/>
        <s v="Gray"/>
        <s v="Brown"/>
        <s v="Beige"/>
        <s v="Burgundy"/>
        <s v="Tan"/>
        <s v="White"/>
      </sharedItems>
    </cacheField>
    <cacheField name="seller" numFmtId="0">
      <sharedItems>
        <s v="american honda motor company"/>
        <s v="onemain rem/m&amp;m auto traders"/>
        <s v="desert auto trade"/>
        <s v="audi mission viejo"/>
        <s v="fratelli investment group"/>
        <s v="audi north scottsdale"/>
        <s v="enterprise vehicle exchange / tra / rental / tulsa"/>
        <s v="audi west covina"/>
        <s v="audi of downtown l a"/>
        <s v="financial services remarketing (lease)"/>
        <s v="street smartz auto sales corporation"/>
        <s v="the hertz corporation"/>
        <s v="lease plan usa"/>
        <s v="rogue cu"/>
        <s v="tdaf remarketing"/>
        <s v="avis rac/san leandro"/>
        <s v="repo remarketing/visterra credit union"/>
        <s v="midway hfc fleet/ars"/>
        <s v="ars/acme auto leasing"/>
        <s v="enterprise vehicle exchange/orange"/>
        <s v="wells fargo dealer services"/>
        <s v="avis corporation"/>
        <s v="d/m auto sales inc"/>
        <s v="hyundai buybacks"/>
        <s v="hyundai motor america/co car"/>
        <s v="hyundai motor finance"/>
        <s v="fox rent a car tra"/>
        <s v="remarketing by ge/film vehicle services"/>
        <s v="dtg operations inc"/>
        <s v="hertz/tra"/>
        <s v="aaero sweet company"/>
        <s v="skyhigh remarketing inc"/>
        <s v="ag leaseplan"/>
        <s v="gm financial"/>
        <s v="enterprise veh exchange/rental"/>
        <s v="jpmorgan chase bank n.a."/>
        <s v="nissan infiniti lt"/>
        <s v="infiniti financial services"/>
        <s v="nissan north america inc."/>
        <s v="jaguar north america llc"/>
        <s v="clear view systems"/>
        <s v="chrysler capital"/>
        <s v="exeter finance corp"/>
        <s v="kia motors finance"/>
        <s v="kia motors america  inc"/>
        <s v="kia motors america  inc -lemon law buybacks"/>
        <s v="kia of cerritos"/>
        <s v="dollar thrifty damage liquidation"/>
        <s v="high bid trading co inc"/>
        <s v="primeritus remarketing/oregon comm credit"/>
        <s v="caprock auto remarketing"/>
        <s v="mercedes benz of laguna niguel"/>
        <s v="land rover north america llc"/>
        <s v="lexus financial services"/>
        <s v="mercedes benz of temecula"/>
        <s v="ubs wholesale"/>
        <s v="sunshine autos"/>
        <s v="south bay hyundai"/>
        <s v="tycon enterprises"/>
        <s v="california republic bank"/>
        <s v="hoehn motors inc"/>
        <s v="mercedes-benz usa"/>
        <s v="mercedes-benz financial services"/>
        <s v="mercedes-benz finc services premier program"/>
        <s v="us bank"/>
        <s v="team nissan"/>
        <s v="nissan dealer blend/ross nissan of el monte"/>
        <s v="nissan-infiniti lt"/>
        <s v="merchants automotive group"/>
        <s v="wheels exchange llc"/>
        <s v="merchants leasing"/>
        <s v="remarketing by ge/manheim southern california"/>
        <s v="vw credit"/>
        <s v="volvo na rep/world omni"/>
      </sharedItems>
    </cacheField>
    <cacheField name="mmr" numFmtId="0">
      <sharedItems containsSemiMixedTypes="0" containsString="0" containsNumber="1" containsInteger="1">
        <n v="22700.0"/>
        <n v="39500.0"/>
        <n v="19950.0"/>
        <n v="47300.0"/>
        <n v="32100.0"/>
        <n v="46500.0"/>
        <n v="41400.0"/>
        <n v="37100.0"/>
        <n v="24000.0"/>
        <n v="24100.0"/>
        <n v="24200.0"/>
        <n v="62000.0"/>
        <n v="48600.0"/>
        <n v="31000.0"/>
        <n v="69000.0"/>
        <n v="68000.0"/>
        <n v="65000.0"/>
        <n v="71000.0"/>
        <n v="66000.0"/>
        <n v="54800.0"/>
        <n v="23700.0"/>
        <n v="67000.0"/>
        <n v="57500.0"/>
        <n v="31900.0"/>
        <n v="30200.0"/>
        <n v="46300.0"/>
        <n v="34200.0"/>
        <n v="33500.0"/>
        <n v="49400.0"/>
        <n v="17850.0"/>
        <n v="11900.0"/>
        <n v="20800.0"/>
        <n v="14150.0"/>
        <n v="12950.0"/>
        <n v="26900.0"/>
        <n v="13000.0"/>
        <n v="22200.0"/>
        <n v="57300.0"/>
        <n v="22500.0"/>
        <n v="21500.0"/>
        <n v="31700.0"/>
        <n v="11600.0"/>
        <n v="17750.0"/>
        <n v="21400.0"/>
        <n v="16600.0"/>
        <n v="13350.0"/>
        <n v="26300.0"/>
        <n v="13050.0"/>
        <n v="12800.0"/>
        <n v="24300.0"/>
        <n v="14700.0"/>
        <n v="15350.0"/>
        <n v="13800.0"/>
        <n v="28300.0"/>
        <n v="27100.0"/>
        <n v="10250.0"/>
        <n v="28500.0"/>
        <n v="11400.0"/>
        <n v="13450.0"/>
        <n v="18000.0"/>
        <n v="19500.0"/>
        <n v="23400.0"/>
        <n v="18350.0"/>
        <n v="12150.0"/>
        <n v="16900.0"/>
        <n v="15000.0"/>
        <n v="14600.0"/>
        <n v="19100.0"/>
        <n v="10800.0"/>
        <n v="12100.0"/>
        <n v="20000.0"/>
        <n v="19850.0"/>
        <n v="11100.0"/>
        <n v="14900.0"/>
        <n v="16450.0"/>
        <n v="21200.0"/>
        <n v="21000.0"/>
        <n v="27900.0"/>
        <n v="36800.0"/>
        <n v="13150.0"/>
        <n v="15050.0"/>
        <n v="15450.0"/>
        <n v="11650.0"/>
        <n v="21800.0"/>
        <n v="17150.0"/>
        <n v="9675.0"/>
        <n v="11300.0"/>
        <n v="18650.0"/>
        <n v="21600.0"/>
        <n v="11500.0"/>
        <n v="18800.0"/>
        <n v="12500.0"/>
        <n v="19800.0"/>
        <n v="9950.0"/>
        <n v="15500.0"/>
        <n v="13100.0"/>
        <n v="12200.0"/>
        <n v="23100.0"/>
        <n v="25900.0"/>
        <n v="16150.0"/>
        <n v="20300.0"/>
        <n v="12350.0"/>
        <n v="18450.0"/>
        <n v="15100.0"/>
        <n v="11150.0"/>
        <n v="9425.0"/>
        <n v="12250.0"/>
        <n v="11350.0"/>
        <n v="12050.0"/>
        <n v="9600.0"/>
        <n v="12400.0"/>
        <n v="13900.0"/>
        <n v="11250.0"/>
        <n v="10950.0"/>
        <n v="12650.0"/>
        <n v="11800.0"/>
        <n v="12000.0"/>
        <n v="10500.0"/>
        <n v="12850.0"/>
        <n v="9700.0"/>
        <n v="35500.0"/>
        <n v="17600.0"/>
        <n v="16000.0"/>
        <n v="31500.0"/>
        <n v="11950.0"/>
        <n v="13850.0"/>
        <n v="8025.0"/>
        <n v="19650.0"/>
        <n v="14550.0"/>
        <n v="11850.0"/>
        <n v="15750.0"/>
        <n v="24700.0"/>
        <n v="22600.0"/>
        <n v="25700.0"/>
        <n v="21300.0"/>
        <n v="20500.0"/>
        <n v="22900.0"/>
        <n v="23000.0"/>
        <n v="23300.0"/>
        <n v="26100.0"/>
        <n v="23800.0"/>
        <n v="24900.0"/>
        <n v="23500.0"/>
        <n v="32000.0"/>
        <n v="25400.0"/>
        <n v="22800.0"/>
        <n v="27200.0"/>
        <n v="25100.0"/>
        <n v="30800.0"/>
        <n v="25200.0"/>
        <n v="22400.0"/>
        <n v="26800.0"/>
        <n v="22300.0"/>
        <n v="22100.0"/>
        <n v="23200.0"/>
        <n v="23900.0"/>
        <n v="25600.0"/>
        <n v="23600.0"/>
        <n v="25300.0"/>
        <n v="22000.0"/>
        <n v="24400.0"/>
        <n v="24500.0"/>
        <n v="21700.0"/>
        <n v="34700.0"/>
        <n v="20700.0"/>
        <n v="27300.0"/>
        <n v="34600.0"/>
        <n v="34800.0"/>
        <n v="27700.0"/>
        <n v="33700.0"/>
        <n v="34100.0"/>
        <n v="34300.0"/>
        <n v="12600.0"/>
        <n v="15150.0"/>
        <n v="19400.0"/>
        <n v="14050.0"/>
        <n v="10200.0"/>
        <n v="10650.0"/>
        <n v="14450.0"/>
        <n v="20600.0"/>
        <n v="16050.0"/>
        <n v="15900.0"/>
        <n v="15700.0"/>
        <n v="15950.0"/>
        <n v="9225.0"/>
        <n v="14000.0"/>
        <n v="16800.0"/>
        <n v="16200.0"/>
        <n v="9775.0"/>
        <n v="12900.0"/>
        <n v="8725.0"/>
        <n v="7050.0"/>
        <n v="9475.0"/>
        <n v="18300.0"/>
        <n v="9175.0"/>
        <n v="9375.0"/>
        <n v="6775.0"/>
        <n v="8075.0"/>
        <n v="8550.0"/>
        <n v="41000.0"/>
        <n v="35400.0"/>
        <n v="37400.0"/>
        <n v="58500.0"/>
        <n v="38600.0"/>
        <n v="61000.0"/>
        <n v="36200.0"/>
        <n v="29400.0"/>
        <n v="34500.0"/>
        <n v="28900.0"/>
        <n v="41200.0"/>
        <n v="8475.0"/>
        <n v="9100.0"/>
        <n v="18850.0"/>
        <n v="14200.0"/>
        <n v="9900.0"/>
        <n v="9825.0"/>
        <n v="11750.0"/>
        <n v="19150.0"/>
        <n v="19050.0"/>
        <n v="29500.0"/>
        <n v="46200.0"/>
        <n v="57200.0"/>
        <n v="55300.0"/>
        <n v="40400.0"/>
        <n v="53300.0"/>
        <n v="33200.0"/>
        <n v="26000.0"/>
        <n v="49500.0"/>
        <n v="55100.0"/>
        <n v="53000.0"/>
        <n v="47900.0"/>
        <n v="13550.0"/>
        <n v="12750.0"/>
        <n v="13500.0"/>
        <n v="16300.0"/>
        <n v="15650.0"/>
        <n v="14300.0"/>
        <n v="14750.0"/>
        <n v="19600.0"/>
        <n v="11700.0"/>
        <n v="13400.0"/>
        <n v="29800.0"/>
        <n v="13650.0"/>
        <n v="10900.0"/>
        <n v="12550.0"/>
        <n v="13200.0"/>
        <n v="13700.0"/>
        <n v="13750.0"/>
        <n v="13600.0"/>
        <n v="31300.0"/>
        <n v="31200.0"/>
        <n v="30700.0"/>
        <n v="27500.0"/>
        <n v="32300.0"/>
        <n v="28400.0"/>
      </sharedItems>
    </cacheField>
    <cacheField name="sellingprice" numFmtId="0">
      <sharedItems containsSemiMixedTypes="0" containsString="0" containsNumber="1" containsInteger="1">
        <n v="21250.0"/>
        <n v="41500.0"/>
        <n v="20400.0"/>
        <n v="49750.0"/>
        <n v="32250.0"/>
        <n v="44500.0"/>
        <n v="34250.0"/>
        <n v="40000.0"/>
        <n v="23750.0"/>
        <n v="25750.0"/>
        <n v="17300.0"/>
        <n v="50000.0"/>
        <n v="47500.0"/>
        <n v="58000.0"/>
        <n v="39750.0"/>
        <n v="65000.0"/>
        <n v="67200.0"/>
        <n v="66100.0"/>
        <n v="77250.0"/>
        <n v="67000.0"/>
        <n v="51700.0"/>
        <n v="26500.0"/>
        <n v="57250.0"/>
        <n v="65801.0"/>
        <n v="64250.0"/>
        <n v="30000.0"/>
        <n v="27500.0"/>
        <n v="46500.0"/>
        <n v="24100.0"/>
        <n v="44000.0"/>
        <n v="18500.0"/>
        <n v="9800.0"/>
        <n v="13600.0"/>
        <n v="3300.0"/>
        <n v="13700.0"/>
        <n v="30250.0"/>
        <n v="19500.0"/>
        <n v="59900.0"/>
        <n v="20600.0"/>
        <n v="19600.0"/>
        <n v="10000.0"/>
        <n v="11500.0"/>
        <n v="17000.0"/>
        <n v="13000.0"/>
        <n v="13200.0"/>
        <n v="17500.0"/>
        <n v="12800.0"/>
        <n v="7200.0"/>
        <n v="12000.0"/>
        <n v="10500.0"/>
        <n v="9000.0"/>
        <n v="27000.0"/>
        <n v="27400.0"/>
        <n v="10700.0"/>
        <n v="30800.0"/>
        <n v="8800.0"/>
        <n v="12300.0"/>
        <n v="18800.0"/>
        <n v="19200.0"/>
        <n v="26000.0"/>
        <n v="17700.0"/>
        <n v="6700.0"/>
        <n v="18100.0"/>
        <n v="16100.0"/>
        <n v="11300.0"/>
        <n v="20300.0"/>
        <n v="25800.0"/>
        <n v="7600.0"/>
        <n v="14800.0"/>
        <n v="16500.0"/>
        <n v="21400.0"/>
        <n v="18200.0"/>
        <n v="22200.0"/>
        <n v="25000.0"/>
        <n v="8700.0"/>
        <n v="10800.0"/>
        <n v="16300.0"/>
        <n v="14900.0"/>
        <n v="8400.0"/>
        <n v="17100.0"/>
        <n v="7800.0"/>
        <n v="11900.0"/>
        <n v="22500.0"/>
        <n v="12600.0"/>
        <n v="25500.0"/>
        <n v="11400.0"/>
        <n v="9400.0"/>
        <n v="23000.0"/>
        <n v="18400.0"/>
        <n v="27200.0"/>
        <n v="19900.0"/>
        <n v="18600.0"/>
        <n v="15900.0"/>
        <n v="12500.0"/>
        <n v="20800.0"/>
        <n v="16900.0"/>
        <n v="7700.0"/>
        <n v="11700.0"/>
        <n v="11800.0"/>
        <n v="12700.0"/>
        <n v="11600.0"/>
        <n v="12400.0"/>
        <n v="6500.0"/>
        <n v="11750.0"/>
        <n v="9750.0"/>
        <n v="11000.0"/>
        <n v="13400.0"/>
        <n v="5800.0"/>
        <n v="12200.0"/>
        <n v="9500.0"/>
        <n v="12900.0"/>
        <n v="8100.0"/>
        <n v="36000.0"/>
        <n v="10100.0"/>
        <n v="17400.0"/>
        <n v="16200.0"/>
        <n v="5200.0"/>
        <n v="10600.0"/>
        <n v="2500.0"/>
        <n v="12100.0"/>
        <n v="13800.0"/>
        <n v="17200.0"/>
        <n v="21000.0"/>
        <n v="18250.0"/>
        <n v="18000.0"/>
        <n v="17250.0"/>
        <n v="21750.0"/>
        <n v="24750.0"/>
        <n v="26250.0"/>
        <n v="24000.0"/>
        <n v="22250.0"/>
        <n v="27250.0"/>
        <n v="26750.0"/>
        <n v="24500.0"/>
        <n v="32000.0"/>
        <n v="23250.0"/>
        <n v="23500.0"/>
        <n v="22750.0"/>
        <n v="25250.0"/>
        <n v="22000.0"/>
        <n v="21500.0"/>
        <n v="20500.0"/>
        <n v="24250.0"/>
        <n v="20250.0"/>
        <n v="34500.0"/>
        <n v="28250.0"/>
        <n v="28750.0"/>
        <n v="33500.0"/>
        <n v="18750.0"/>
        <n v="20750.0"/>
        <n v="35250.0"/>
        <n v="13900.0"/>
        <n v="19300.0"/>
        <n v="6900.0"/>
        <n v="14200.0"/>
        <n v="7000.0"/>
        <n v="6300.0"/>
        <n v="15300.0"/>
        <n v="14300.0"/>
        <n v="10400.0"/>
        <n v="16800.0"/>
        <n v="12750.0"/>
        <n v="5500.0"/>
        <n v="15700.0"/>
        <n v="16400.0"/>
        <n v="16600.0"/>
        <n v="15250.0"/>
        <n v="14000.0"/>
        <n v="13500.0"/>
        <n v="6000.0"/>
        <n v="8900.0"/>
        <n v="15200.0"/>
        <n v="13300.0"/>
        <n v="9200.0"/>
        <n v="7500.0"/>
        <n v="19000.0"/>
        <n v="2700.0"/>
        <n v="8500.0"/>
        <n v="3850.0"/>
        <n v="41000.0"/>
        <n v="35500.0"/>
        <n v="39000.0"/>
        <n v="42000.0"/>
        <n v="30500.0"/>
        <n v="60000.0"/>
        <n v="37750.0"/>
        <n v="29300.0"/>
        <n v="32100.0"/>
        <n v="27750.0"/>
        <n v="31000.0"/>
        <n v="38400.0"/>
        <n v="64000.0"/>
        <n v="33000.0"/>
        <n v="31900.0"/>
        <n v="9600.0"/>
        <n v="15000.0"/>
        <n v="9100.0"/>
        <n v="13100.0"/>
        <n v="20000.0"/>
        <n v="48000.0"/>
        <n v="46750.0"/>
        <n v="56250.0"/>
        <n v="42750.0"/>
        <n v="54000.0"/>
        <n v="30750.0"/>
        <n v="34750.0"/>
        <n v="31750.0"/>
        <n v="45500.0"/>
        <n v="51500.0"/>
        <n v="14700.0"/>
        <n v="14600.0"/>
        <n v="18900.0"/>
        <n v="15500.0"/>
        <n v="13750.0"/>
        <n v="14100.0"/>
        <n v="8000.0"/>
        <n v="14400.0"/>
        <n v="10900.0"/>
        <n v="22900.0"/>
        <n v="32500.0"/>
        <n v="28000.0"/>
      </sharedItems>
    </cacheField>
    <cacheField name="saledate" numFmtId="164">
      <sharedItems containsSemiMixedTypes="0" containsDate="1" containsString="0">
        <d v="2014-12-18T00:00:00Z"/>
        <d v="2014-12-16T00:00:00Z"/>
        <d v="2014-12-23T00:00:00Z"/>
        <d v="2014-12-30T00:00:00Z"/>
        <d v="2015-01-29T00:00:00Z"/>
        <d v="2014-12-17T00:00:00Z"/>
        <d v="2015-01-06T00:00:00Z"/>
        <d v="2015-01-13T00:00:00Z"/>
        <d v="2015-01-15T00:00:00Z"/>
        <d v="2015-02-03T00:00:00Z"/>
        <d v="2015-02-04T00:00:00Z"/>
        <d v="2015-01-14T00:00:00Z"/>
        <d v="2015-01-20T00:00:00Z"/>
        <d v="2015-01-22T00:00:00Z"/>
        <d v="2015-02-12T00:00:00Z"/>
        <d v="2015-07-07T00:00:00Z"/>
        <d v="2014-12-31T00:00:00Z"/>
        <d v="2015-01-27T00:00:00Z"/>
        <d v="2015-02-17T00:00:00Z"/>
        <d v="2015-01-21T00:00:00Z"/>
        <d v="2014-12-26T00:00:00Z"/>
        <d v="2015-01-07T00:00:00Z"/>
        <d v="2015-01-08T00:00:00Z"/>
        <d v="2015-02-26T00:00:00Z"/>
      </sharedItems>
    </cacheField>
    <cacheField name="saleday" numFmtId="0">
      <sharedItems>
        <s v="Thursday"/>
        <s v="Tuesday"/>
        <s v="Wednesday"/>
        <s v="Friday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501" sheet="Data"/>
  </cacheSource>
  <cacheFields>
    <cacheField name="year" numFmtId="0">
      <sharedItems containsSemiMixedTypes="0" containsString="0" containsNumber="1" containsInteger="1">
        <n v="2014.0"/>
        <n v="2015.0"/>
        <n v="2013.0"/>
      </sharedItems>
    </cacheField>
    <cacheField name="make" numFmtId="0">
      <sharedItems>
        <s v="Acura"/>
        <s v="Audi"/>
        <s v="Bmw"/>
        <s v="Buick"/>
        <s v="Cadillac"/>
        <s v="Chevrolet"/>
        <s v="Ford"/>
        <s v="Hyundai"/>
        <s v="Infiniti"/>
        <s v="Jaguar"/>
        <s v="Jeep"/>
        <s v="Kia"/>
        <s v="Land Rover"/>
        <s v="Lexus"/>
        <s v="Lincoln"/>
        <s v="Mazda"/>
        <s v="Mercedes-Benz"/>
        <s v="Mini"/>
        <s v="Mitsubishi"/>
        <s v="Nissan"/>
        <s v="Toyota"/>
        <s v="Volkswagen"/>
        <s v="Volvo"/>
      </sharedItems>
    </cacheField>
    <cacheField name="model" numFmtId="0">
      <sharedItems>
        <s v="Ilx"/>
        <s v="Mdx"/>
        <s v="A6"/>
        <s v="A4"/>
        <s v="S5"/>
        <s v="Tts"/>
        <s v="Q5"/>
        <s v="A3"/>
        <s v="A8"/>
        <s v="Sq5"/>
        <s v="6 Series Gran Coupe"/>
        <s v="4 Series"/>
        <s v="M5"/>
        <s v="6 Series"/>
        <s v="X6"/>
        <s v="X1"/>
        <s v="X5"/>
        <s v="3 Series"/>
        <s v="5 Series"/>
        <s v="Enclave"/>
        <s v="Srx"/>
        <s v="Elr"/>
        <s v="Camaro"/>
        <s v="Cruze"/>
        <s v="Silverado 1500"/>
        <s v="Suburban"/>
        <s v="Malibu"/>
        <s v="Impala"/>
        <s v="Fusion"/>
        <s v="Elantra"/>
        <s v="Santa Fe"/>
        <s v="Genesis"/>
        <s v="Sonata Hybrid"/>
        <s v="Sonata"/>
        <s v="Veloster"/>
        <s v="Elantra Coupe"/>
        <s v="Accent"/>
        <s v="Azera"/>
        <s v="Tucson"/>
        <s v="Equus"/>
        <s v="Genesis Coupe"/>
        <s v="G Sedan"/>
        <s v="G Coupe"/>
        <s v="Jx"/>
        <s v="Fx"/>
        <s v="M"/>
        <s v="Xf"/>
        <s v="Wrangler"/>
        <s v="Grand Cherokee"/>
        <s v="Compass"/>
        <s v="Optima"/>
        <s v="Sorento"/>
        <s v="Soul"/>
        <s v="Rio"/>
        <s v="Forte"/>
        <s v="Sportage"/>
        <s v="K900"/>
        <s v="Range Rover Evoque"/>
        <s v="Lr4"/>
        <s v="Range Rover Sport"/>
        <s v="Rx 350"/>
        <s v="Es 350"/>
        <s v="Gs 350"/>
        <s v="Ls 460"/>
        <s v="Mkx"/>
        <s v="Mazda2"/>
        <s v="Mazda3"/>
        <s v="Mazda5"/>
        <s v="Cx-9"/>
        <s v="C-Class"/>
        <s v="Glk-Class"/>
        <s v="Gl-Class"/>
        <s v="S-Class"/>
        <s v="M-Class"/>
        <s v="E-Class"/>
        <s v="Cooper Clubman"/>
        <s v="Cooper"/>
        <s v="Cooper Countryman"/>
        <s v="Outlander Sport"/>
        <s v="Outlander"/>
        <s v="Lancer"/>
        <s v="Altima"/>
        <s v="370Z"/>
        <s v="Versa"/>
        <s v="Juke"/>
        <s v="Versa Note"/>
        <s v="Corolla"/>
        <s v="Sienna"/>
        <s v="Yaris"/>
        <s v="Passat"/>
        <s v="Xc60"/>
        <s v="V60"/>
        <s v="S60"/>
        <s v="Xc70"/>
      </sharedItems>
    </cacheField>
    <cacheField name="trim">
      <sharedItems containsMixedTypes="1" containsNumber="1">
        <s v="Technology Package"/>
        <s v="Advance and Entertainment Packages"/>
        <s v="Base"/>
        <s v="3.0T Prestige quattro"/>
        <s v="2.0T Premium Plus quattro"/>
        <s v="Premium Plus quattro"/>
        <s v="quattro"/>
        <s v="1.8 TFSI Premium"/>
        <s v="L 3.0T quattro"/>
        <s v="3.0T Premium Plus quattro"/>
        <s v="650i"/>
        <s v="428i SULEV"/>
        <s v="xDrive35i"/>
        <s v="sDrive28i"/>
        <s v="328i SULEV"/>
        <s v="535d"/>
        <s v="528i"/>
        <s v="Leather Group"/>
        <s v="Luxury"/>
        <s v="LS"/>
        <s v="1LT"/>
        <s v="LT"/>
        <s v="2LT"/>
        <s v="LTZ"/>
        <s v="SE"/>
        <s v="Limited"/>
        <s v="5.0 R-Spec"/>
        <s v="GLS"/>
        <s v="Sport"/>
        <s v="Sport 2.0T"/>
        <s v="Turbo"/>
        <s v="GS"/>
        <s v="Ultimate"/>
        <n v="3.8"/>
        <s v="3.8 Track"/>
        <s v="Signature"/>
        <s v="G37 Journey"/>
        <s v="G37 Sport"/>
        <s v="G37x"/>
        <s v="JX35"/>
        <s v="FX37"/>
        <s v="M37"/>
        <s v="Unlimited Rubicon"/>
        <s v="Latitude"/>
        <s v="Unlimited Sahara"/>
        <s v="Unlimited Sport"/>
        <s v="LX"/>
        <s v="SX"/>
        <s v="+"/>
        <s v="EX"/>
        <s v="EX Hybrid"/>
        <s v="Pure Plus"/>
        <s v="HSE LUX"/>
        <s v="Pure Premium"/>
        <s v="Supercharged Limited Edition"/>
        <s v="L"/>
        <s v="Touring"/>
        <s v="i Touring"/>
        <s v="i Sport"/>
        <s v="i SV"/>
        <s v="C250 Sport"/>
        <s v="GLK350"/>
        <s v="GL450 4MATIC"/>
        <s v="S550"/>
        <s v="ML350"/>
        <s v="E350 Sport"/>
        <s v="E350"/>
        <s v="C250"/>
        <s v="LE"/>
        <s v="ES"/>
        <s v="Ralliart"/>
        <n v="2.5"/>
        <s v="2.5 S"/>
        <s v="1.6 SL"/>
        <s v="S"/>
        <s v="1.6 SV"/>
        <s v="LE 7-Passenger Mobility Auto Access"/>
        <s v="SE PZEV"/>
        <n v="3.2"/>
        <s v="T5"/>
        <s v="T6"/>
      </sharedItems>
    </cacheField>
    <cacheField name="body" numFmtId="0">
      <sharedItems>
        <s v="Sedan"/>
        <s v="Suv"/>
        <s v="Coupe"/>
        <s v="Convertible"/>
        <s v="Crew Cab"/>
        <s v="Hatchback"/>
        <s v="Elantra Coupe"/>
        <s v="Genesis Coupe"/>
        <s v="G Sedan"/>
        <s v="G Coupe"/>
        <s v="Wagon"/>
        <s v="Minivan"/>
      </sharedItems>
    </cacheField>
    <cacheField name="transmission" numFmtId="0">
      <sharedItems>
        <s v="automatic"/>
        <s v="manual"/>
      </sharedItems>
    </cacheField>
    <cacheField name="vin" numFmtId="0">
      <sharedItems>
        <s v="19VDE1F70EE008913"/>
        <s v="5FRYD3H83EB011004"/>
        <s v="19VDE1F38EE011281"/>
        <s v="WAUHGAFC0EN062916"/>
        <s v="WAUFFAFL3EN030343"/>
        <s v="WAUCGAFRXEA001689"/>
        <s v="TRUB1AFK9E1007640"/>
        <s v="WA1LFAFPXEA085074"/>
        <s v="WAUACGFF7F1002327"/>
        <s v="WAUACGFF1F1002467"/>
        <s v="WAUACGFF6F1029938"/>
        <s v="WAURGAFD8EN003111"/>
        <s v="WA1CGAFP4EA030312"/>
        <s v="WBA6B2C53ED128866"/>
        <s v="WBA3N7C55EF719079"/>
        <s v="WBSFV9C51ED593089"/>
        <s v="WBAYP9C53ED169260"/>
        <s v="WBA6B2C51ED129563"/>
        <s v="WBAYP9C53ED169288"/>
        <s v="WBSFV9C51ED097712"/>
        <s v="WBA6B2C57ED129731"/>
        <s v="5UXFG2C53E0H11080"/>
        <s v="WBAVM1C53EVW47779"/>
        <s v="WBSFV9C54ED593085"/>
        <s v="WBAYP9C59ED169280"/>
        <s v="5UXKR0C54E0K49204"/>
        <s v="WBSFV9C55ED593080"/>
        <s v="WBAYP9C50ED169281"/>
        <s v="WBAYP9C57ED169262"/>
        <s v="WBAYP9C55ED169261"/>
        <s v="WBSFV9C56ED593069"/>
        <s v="WBA3C1C51EK116351"/>
        <s v="WBA3C1C58EK106688"/>
        <s v="WBAXA5C52ED689665"/>
        <s v="WBA5A5C51ED501631"/>
        <s v="5GAKRBKD2EJ294045"/>
        <s v="3GYFNBE32ES536307"/>
        <s v="1G6RR1E48EU601450"/>
        <s v="2G1FE1E34E9190976"/>
        <s v="1G1PC5SB2E7128460"/>
        <s v="2G1FB1E31E9248986"/>
        <s v="1G1PE5SB3E7406616"/>
        <s v="1G1PE5SB5E7115504"/>
        <s v="3GCPCRECXEG363552"/>
        <s v="1G1PE5SB4E7109323"/>
        <s v="2G1FB1E35E9238302"/>
        <s v="1GNSKKKC3FR187901"/>
        <s v="2G1FB1E35E9238493"/>
        <s v="2G1FB1E33E9211499"/>
        <s v="1G1PE5SB8E7420706"/>
        <s v="3GCUKREC9EG452373"/>
        <s v="1G1PC5SB2E7105471"/>
        <s v="2G1FA1E39E9134494"/>
        <s v="2G1FB1E37E9270877"/>
        <s v="1G11D5SL6FU106427"/>
        <s v="1G1PE5SB0E7134820"/>
        <s v="2G1FB3D37E9218789"/>
        <s v="1G1PE5SB6E7118217"/>
        <s v="1G1PE5SB4E7102937"/>
        <s v="2G1165S30F9103921"/>
        <s v="3FA6P0H7XFR151689"/>
        <s v="3FA6P0HDXFR145753"/>
        <s v="5NPDH4AE2FH565969"/>
        <s v="5NPDH4AE8FH565992"/>
        <s v="KM8SRDHF0DU002596"/>
        <s v="KMHGC4DH7DU220016"/>
        <s v="KMHDH4AE9DU490167"/>
        <s v="KM8SRDHF8DU000644"/>
        <s v="5NPDH4AE5DH342001"/>
        <s v="5NPDH4AE9DH235016"/>
        <s v="KMHEC4A46DA091860"/>
        <s v="5XYZTDLB9DG057378"/>
        <s v="KM8SR4HF7DU008024"/>
        <s v="KMHEC4A48DA092248"/>
        <s v="5NPDH4AE8DH345667"/>
        <s v="5XYZW3LA5DG114166"/>
        <s v="5NPEC4AC2DH608074"/>
        <s v="KMHTC6AE4DU168333"/>
        <s v="KMHDH6AE8DU000216"/>
        <s v="KMHEC4A41DA089739"/>
        <s v="KMHCT5AE4DU128991"/>
        <s v="5NPDH4AE4DH388614"/>
        <s v="KMHFG4JGXDA201053"/>
        <s v="5XYZWDLA8DG094937"/>
        <s v="5NPDH4AE0DH320214"/>
        <s v="KMHEC4A46DA091339"/>
        <s v="KM8JU3AC4DU587297"/>
        <s v="KMHDH4AE2DU972303"/>
        <s v="KMHFG4JG8DA325905"/>
        <s v="KMHEC4A49DA092260"/>
        <s v="KMHFH4JG7DA330493"/>
        <s v="KMHGC4DH8DU258211"/>
        <s v="KMHGH4JH3DU064689"/>
        <s v="5NPDH4AE7DH327127"/>
        <s v="KMHDH4AE7DU946909"/>
        <s v="KMHTC6AE3DU146243"/>
        <s v="KMHEC4A4XDA091084"/>
        <s v="5NPEB4AC3DH722331"/>
        <s v="KMHFH4JG5DA257916"/>
        <s v="KMHEC4A4XDA091246"/>
        <s v="KMHCT4AE6DU523099"/>
        <s v="KMHCU5AE2DU138898"/>
        <s v="KMHGC4DD2DU221961"/>
        <s v="5XYZU3LAXDG105372"/>
        <s v="KMHDH4AE4DU797598"/>
        <s v="KMHGC4DD0DU214801"/>
        <s v="5NPDH4AE9DH243696"/>
        <s v="5XYZWDLA5DG083054"/>
        <s v="KMHCU5AE3DU079747"/>
        <s v="KMHEC4A46DA093060"/>
        <s v="5NPEB4ACXDH740633"/>
        <s v="KMHTC6AD7DU089181"/>
        <s v="5NPDH4AE7DH345708"/>
        <s v="5NPEB4AC2DH745910"/>
        <s v="KM8SR4HF1DU031590"/>
        <s v="KMHHU6KJ0DU110296"/>
        <s v="KMHEC4A48DA091908"/>
        <s v="KMHGC4DH6DU220492"/>
        <s v="KM8JU3AC6DU590752"/>
        <s v="KMHEC4A46DA099621"/>
        <s v="KMHDH4AEXDU731797"/>
        <s v="KMHEC4A40DA092843"/>
        <s v="5NPDH4AE7DH225536"/>
        <s v="KMHGC4DD7DU226203"/>
        <s v="5XYZU3LA5DG079070"/>
        <s v="5NPEC4AC9DH600084"/>
        <s v="5NPDH4AEXDH317398"/>
        <s v="5NPDH4AE4DH327134"/>
        <s v="5NPDH4AE0DH335103"/>
        <s v="KMHCT4AE3DU421257"/>
        <s v="5NPEB4AC9DH760050"/>
        <s v="5NPDH4AE0DH344075"/>
        <s v="5NPDH4AE8DH375848"/>
        <s v="5NPEB4AC7DH680813"/>
        <s v="5NPDH4AE5DH363852"/>
        <s v="5NPEB4ACXDH745962"/>
        <s v="5NPEB4AC3DH734477"/>
        <s v="5NPEB4AC5DH682009"/>
        <s v="KMHCT4AE4DU422188"/>
        <s v="5NPDH4AE0DH356789"/>
        <s v="5NPEB4AC8DH687043"/>
        <s v="5NPDH4AE4FH552981"/>
        <s v="5NPDH4AE8DH348469"/>
        <s v="5NPEB4AC9DH691294"/>
        <s v="5NPEB4AC4DH712021"/>
        <s v="5NPEB4AC5DH771160"/>
        <s v="5NPDH4AE0DH358462"/>
        <s v="5NPEB4AC5DH743407"/>
        <s v="5NPEB4AC6DH743092"/>
        <s v="5NPDH4AE0FH574105"/>
        <s v="5NPDH4AE4DH385955"/>
        <s v="5NPEB4ACXDH744455"/>
        <s v="5NPEB4ACXDH752037"/>
        <s v="5NPEB4AC5DH745416"/>
        <s v="5NPDH4AE1DH345719"/>
        <s v="5NPDH4AE2DH375957"/>
        <s v="KMHCT5AE8DU091850"/>
        <s v="5NPEB4AC5DH648748"/>
        <s v="KMHCT4AE9DU436426"/>
        <s v="5NPDH4AE7DH339679"/>
        <s v="KMHGH4JH5DU065956"/>
        <s v="5NPEB4AC1DH733036"/>
        <s v="5NPEB4AC1DH680502"/>
        <s v="5XYZTDLB2DG045704"/>
        <s v="5NPEC4AC6DH513954"/>
        <s v="KMHGH4JH9DU063479"/>
        <s v="5NPDH4AEXDH303629"/>
        <s v="5NPDH4AE2FH566023"/>
        <s v="KMHDH6AE8DU017422"/>
        <s v="KMHEC4A40DA089523"/>
        <s v="5NPEB4AC0DH721038"/>
        <s v="5NPDH4AE2DH264292"/>
        <s v="5NPEB4AC7DH636875"/>
        <s v="5NPEC4AB6DH539798"/>
        <s v="JN1CV6APXDM713003"/>
        <s v="JN1CV6AP3DM711108"/>
        <s v="JN1CV6EK1DM921866"/>
        <s v="JN1CV6AP5DM713782"/>
        <s v="JN1CV6EK0DM921180"/>
        <s v="JN1CV6AR7DM351570"/>
        <s v="JN1CV6AP3DM720746"/>
        <s v="JN1CV6AP4DM712848"/>
        <s v="JN1CV6APXDM715446"/>
        <s v="JN1CV6AP5DM715158"/>
        <s v="JN1CV6AP0DM712524"/>
        <s v="JN1CV6APXDM712482"/>
        <s v="JN1CV6EK9DM921386"/>
        <s v="JN1CV6APXDM717651"/>
        <s v="JN1CV6AP0DM714760"/>
        <s v="JN1CV6AP2DM714338"/>
        <s v="JN1CV6AP5DM715922"/>
        <s v="5N1AL0MM4DC337764"/>
        <s v="JN1CV6EL5DM980105"/>
        <s v="JN1CV6AP1DM301617"/>
        <s v="JN1CV6AP9DM300540"/>
        <s v="JN1CV6EK4DM921604"/>
        <s v="JN1CV6AP3DM726059"/>
        <s v="JN1CV6APXDM714541"/>
        <s v="JN1CV6EK8DM920763"/>
        <s v="JN1CV6EK8DM900321"/>
        <s v="JN1CV6AP5DM714009"/>
        <s v="JN1CV6AP5DM713958"/>
        <s v="JN8CS1MU2DM140046"/>
        <s v="JN1CV6EK0DM900927"/>
        <s v="JN1CV6AP9DM712232"/>
        <s v="JN1CV6EK0DM920093"/>
        <s v="JN1CV6AP0DM725418"/>
        <s v="JN1CV6AP2DM714887"/>
        <s v="JN1CV6AP2DM712055"/>
        <s v="JN1CV6AP5DM713801"/>
        <s v="JN1CV6AP2DM712170"/>
        <s v="JN1CV6APXDM712417"/>
        <s v="JN1CV6AP4DM303216"/>
        <s v="JN1CV6AP9DM300442"/>
        <s v="JN1CV6APXDM712403"/>
        <s v="JN1CV6AP8DM717292"/>
        <s v="JN1CV6AP6DM714973"/>
        <s v="JN1CV6AP9DM719505"/>
        <s v="JN1CV6AP8DM711170"/>
        <s v="JN1CV6EK3DM921383"/>
        <s v="JN1CV6EKXDM920134"/>
        <s v="JN1CV6AP4DM301420"/>
        <s v="JN1CV6AP0DM711499"/>
        <s v="JN1CV6AP1DM712628"/>
        <s v="JN1CV6AP8DM716627"/>
        <s v="JN1CV6AP3DM713263"/>
        <s v="JN1CV6AP6DM711376"/>
        <s v="JN1CV6AP7DM711712"/>
        <s v="JN1CV6EK2DM920760"/>
        <s v="JN1CV6APXDM714507"/>
        <s v="JN1CV6AP0DM713933"/>
        <s v="JN1CV6AP4DM302678"/>
        <s v="JN1CV6AP3DM301392"/>
        <s v="JN1CV6EK5DM920106"/>
        <s v="JN1CV6APXDM714605"/>
        <s v="JN1CV6AP7DM713816"/>
        <s v="JN1CV6AP1DM712273"/>
        <s v="JN1CV6AP5DM721977"/>
        <s v="JN1CV6AP3DM710802"/>
        <s v="JN1CV6AP4DM715250"/>
        <s v="JN1CV6AP0DM714516"/>
        <s v="JN1CV6APXDM300417"/>
        <s v="JN1CV6AP3DM714428"/>
        <s v="JN1CV6EK7DM921385"/>
        <s v="JN1CV6AP2DM714792"/>
        <s v="JN1CV6EK3DM920766"/>
        <s v="JN1CV6AP1DM719644"/>
        <s v="JN1CV6APXDM710375"/>
        <s v="JN1CV6AP8DM301100"/>
        <s v="JN1CV6AP8DM712058"/>
        <s v="JN1CV6EKXDM921560"/>
        <s v="JN1CV6AP1DM714069"/>
        <s v="JN1CV6EK5DM900664"/>
        <s v="JN1CV6AP9DM713509"/>
        <s v="JN1CV6AP6DM715699"/>
        <s v="JN1CV6AP9DM716121"/>
        <s v="JN1CV6AP5DM720571"/>
        <s v="JN1CV6AP7DM301475"/>
        <s v="JN1CV6AP1DM711625"/>
        <s v="JN1CV6AP1DM716758"/>
        <s v="JN1CV6AP0DM300670"/>
        <s v="JN1CV6APXDM714264"/>
        <s v="JN1CV6AP3DM719922"/>
        <s v="JN1CV6AP6DM712365"/>
        <s v="JN1CV6AP5DM711210"/>
        <s v="JN1CV6AP0DM711549"/>
        <s v="JN1CV6AP3DM710234"/>
        <s v="JN1CV6AP3DM710394"/>
        <s v="JN1CV6AP7DM710365"/>
        <s v="JN1CV6APXDM714880"/>
        <s v="JN1CV6AP3DM713554"/>
        <s v="JN1CV6AP5DM713250"/>
        <s v="JN1CV6AP7DM716733"/>
        <s v="JN1CV6AP4DM712607"/>
        <s v="JN1CV6EK5DM920784"/>
        <s v="JN1CV6EK5DM920672"/>
        <s v="JN1CV6AP1DM711334"/>
        <s v="JN1CV6AP4DM714969"/>
        <s v="JN1CV6AP9DM714417"/>
        <s v="JN1CV6AP8DM715803"/>
        <s v="JN1CV6AP8DM712593"/>
        <s v="JN1CV6AP3DM713666"/>
        <s v="JN1CV6AP3DM712825"/>
        <s v="JN1CV6AP2DM712928"/>
        <s v="JN1CV6AP2DM712931"/>
        <s v="JN1CV6AP9DM712909"/>
        <s v="JN1CV6AR0DM750465"/>
        <s v="JN1CV6AR5DM750574"/>
        <s v="JN1BY1AP3DM514252"/>
        <s v="JN1CV6ARXDM750005"/>
        <s v="JN1CV6AP6DM712706"/>
        <s v="JN1CV6AP1DM300564"/>
        <s v="JN1CV6EK1DM920250"/>
        <s v="JN1BY1AP2DM514632"/>
        <s v="JN1BY1AP6DM514665"/>
        <s v="JN1CV6AP8DM716708"/>
        <s v="JN1CV6APXDM712658"/>
        <s v="JN1CV6AP5DM714785"/>
        <s v="JN1CV6AP9DM715258"/>
        <s v="JN8CS1MW7DM174050"/>
        <s v="JN1CV6AP2DM712489"/>
        <s v="JN1CV6AP0DM712653"/>
        <s v="JN1CV6AR5DM350059"/>
        <s v="JN1CV6EK2DM923402"/>
        <s v="JN1CV6AP9DM711176"/>
        <s v="JN1BY1AP5DM514530"/>
        <s v="SAJWA0ES1DPS79829"/>
        <s v="SAJWA0ES4DPS64029"/>
        <s v="1C4BJWFG4DL585036"/>
        <s v="1C4RJEBG1DC636460"/>
        <s v="1C4NJCEB2DD229860"/>
        <s v="1C4NJCEB7DD255239"/>
        <s v="1C4HJWEG8DL539625"/>
        <s v="1C4HJWDG9DL604791"/>
        <s v="1C4HJWDG3DL620646"/>
        <s v="5XXGM4A73FG353538"/>
        <s v="5XYKT3A62FG579841"/>
        <s v="5XXGM4A72DG248132"/>
        <s v="KNDJT2A54D7539154"/>
        <s v="5XXGR4A68DG228640"/>
        <s v="KNADN5A32D6147221"/>
        <s v="KNDJT2A64D7494239"/>
        <s v="KNADM5A38D6292461"/>
        <s v="5XXGM4A70DG226694"/>
        <s v="KNAGM4A75D5442817"/>
        <s v="5XXGR4A61DG178423"/>
        <s v="KNAFU4A20D5658140"/>
        <s v="5XYKTCA69FG566472"/>
        <s v="5XYKTCA69FG561319"/>
        <s v="5XYKTCA66FG561407"/>
        <s v="5XYKTCA60FG565226"/>
        <s v="5XYKTCA68FG559481"/>
        <s v="5XYKTCA67FG570973"/>
        <s v="5XYKTCA63FG570727"/>
        <s v="5XYKTCA6XFG560888"/>
        <s v="5XYKTCA68FG570979"/>
        <s v="5XYKTCA65FG571619"/>
        <s v="5XYKTCA64FG570963"/>
        <s v="5XYKTCA60FG563086"/>
        <s v="5XYKTCA67FG567068"/>
        <s v="5XYKTCA64FG570672"/>
        <s v="5XYKTCA60FG570829"/>
        <s v="5XYKTCA61FG560973"/>
        <s v="5XYKTCA61FG566806"/>
        <s v="KNAGM4AD1D5057809"/>
        <s v="KNAGM4AD9D5054379"/>
        <s v="KNAGM4AD6D5055554"/>
        <s v="5XYKTDA2XDG322880"/>
        <s v="KNAGM4AD4D5057867"/>
        <s v="KNADM4A35D6233930"/>
        <s v="KNAGM4AD0D5055811"/>
        <s v="KNAGM4AD1D5055882"/>
        <s v="KNAGM4AD0D5057798"/>
        <s v="KNAGM4AD8D5056639"/>
        <s v="KNDPB3A28D7450308"/>
        <s v="5XYKU3A23DG334585"/>
        <s v="5XYKT4A22DG332853"/>
        <s v="5XXGN4A7XDG106558"/>
        <s v="KNDJT2A68D7570612"/>
        <s v="5XXGR4A65DG171118"/>
        <s v="5XYKW4A26DG339716"/>
        <s v="KNADM4A3XD6124671"/>
        <s v="KNDPBCA25D7406217"/>
        <s v="5XXGM4A7XDG238335"/>
        <s v="5XXGM4A7XDG214617"/>
        <s v="KNADM4A31D6173631"/>
        <s v="KNAFT4A28D5738465"/>
        <s v="KNADM4A34D6310898"/>
        <s v="KNADN5A33D6283020"/>
        <s v="5XXGR4A6XDG089207"/>
        <s v="KNAFU4A22D5724414"/>
        <s v="KNDJT2A60D7538561"/>
        <s v="KNADM4A36D6256603"/>
        <s v="KNAFT4A26D5682378"/>
        <s v="KNAFT4A2XD5718881"/>
        <s v="5XXGR4A61DG171696"/>
        <s v="KNADM4A3XD6113380"/>
        <s v="KNALW4D42F6018633"/>
        <s v="5XXGR4A64DG097254"/>
        <s v="KNALW4D42F6019667"/>
        <s v="SALVP2BG5DH781072"/>
        <s v="SALVP1BG7DH775994"/>
        <s v="SALAK2D48DA693027"/>
        <s v="SALVR2BG6DH755364"/>
        <s v="SALSH2E49DA763586"/>
        <s v="2T2BK1BA8DC191589"/>
        <s v="JTHBK1GG3D2061489"/>
        <s v="JTHBE1BL9D5002103"/>
        <s v="JTHBE1BL4D5006057"/>
        <s v="JTHBK1GG1D2049728"/>
        <s v="JTHBE1BL4D5001280"/>
        <s v="2T2ZK1BA7FC155782"/>
        <s v="JTHGL1EFXD5047925"/>
        <s v="JTHBE1BL6D5006836"/>
        <s v="JTHBE1BL4D5013929"/>
        <s v="2LMDJ8JK9DBL34528"/>
        <s v="JM1DE1LZ0D0160159"/>
        <s v="JM1BL1VP7D1768022"/>
        <s v="JM1CW2CL1D0150492"/>
        <s v="JM1BL1UPXD1794194"/>
        <s v="JM3TB2CV0D0411079"/>
        <s v="JM1CW2BL1D0154950"/>
        <s v="JM1CW2BL6D0159321"/>
        <s v="JM1BL1UP7D1731716"/>
        <s v="JM1CW2BL0D0149559"/>
        <s v="JM1BL1TG8D1728177"/>
        <s v="JM3TB2CA2D0403904"/>
        <s v="JM1DE1KZ8D0152764"/>
        <s v="JM1CW2CL5D0150799"/>
        <s v="JM1CW2BL4D0152478"/>
        <s v="JM3TB3CV9D0410440"/>
        <s v="JM3TB2CV8D0412139"/>
        <s v="WDDGF4HB0DR255362"/>
        <s v="WDDGF4HB8DR256694"/>
        <s v="WDCGG5HB6DF956724"/>
        <s v="4JGDF7CE3DA182451"/>
        <s v="4JGDF7CE8DA148599"/>
        <s v="WDDNG7DB5DA525549"/>
        <s v="WDDGF4HB8DA832718"/>
        <s v="WDDNG7DB9DA492877"/>
        <s v="4JGDA5JB8DA218923"/>
        <s v="WDDNG7DB8DA497438"/>
        <s v="WDDGF4HB2DR241947"/>
        <s v="WDDHF5KB1DA703044"/>
        <s v="WDDKJ5KB4DF191416"/>
        <s v="WDDHF5KB6DA718574"/>
        <s v="WDDGF4HB3DR256859"/>
        <s v="WDDHF5KB8DA762334"/>
        <s v="WDDGJ4HBXDF943918"/>
        <s v="WDDGJ4HBXDG003743"/>
        <s v="WDDGJ4HB6DF988399"/>
        <s v="WDDNG7DB5DA496778"/>
        <s v="WDDGJ4HB5DF998504"/>
        <s v="WDDNG7DB2DA502214"/>
        <s v="WDDNG7DB3DA492051"/>
        <s v="WDDNG7DB4DA498361"/>
        <s v="WMWZF3C54DT489938"/>
        <s v="WMWSU3C59DT548117"/>
        <s v="WMWZF3C50DT489905"/>
        <s v="WMWSU3C58DT546181"/>
        <s v="WMWZB3C52DWM07005"/>
        <s v="4A4AR5AU4DE024456"/>
        <s v="JA4JT3AW9DU020286"/>
        <s v="JA4JT3AW7DU019962"/>
        <s v="JA4JT3AW4DU020776"/>
        <s v="JA32U2FU2DU019813"/>
        <s v="JA4JT3AW5DU020785"/>
        <s v="JA32V6FV9DU003475"/>
        <s v="1N4AL3AP6DC903319"/>
        <s v="1N4AL3AP3DN535427"/>
        <s v="1N4AL3AP4DN454940"/>
        <s v="1N4AL3AP9DC280391"/>
        <s v="1N4AL3AP5DC205039"/>
        <s v="JN1AZ4FH8DM790096"/>
        <s v="1N4AL3AP0DN511313"/>
        <s v="1N4AL3AP2DN571447"/>
        <s v="JN1AZ4EH8DM881810"/>
        <s v="1N4AL2EP0DC290165"/>
        <s v="1N4AL3AP0DC283888"/>
        <s v="1N4AL3AP8DN508594"/>
        <s v="1N4AL3AP3DC208697"/>
        <s v="3N1CN7AP7FL842707"/>
        <s v="1N4AL3AP2DC275940"/>
        <s v="1N4AL3AP1DN536852"/>
        <s v="1N4AL3APXDN538325"/>
        <s v="1N4AL3AP4DC259156"/>
        <s v="1N4AL3AP5DN450766"/>
        <s v="1N4AL2EP2DC219971"/>
        <s v="1N4AL3AP5DC259084"/>
        <s v="1N4AL2EP3DC223558"/>
        <s v="1N4AL3AP8DC187703"/>
        <s v="1N4AL3AP8DC261914"/>
        <s v="1N4AL3APXDC256245"/>
        <s v="1N4AL3AP2DC297887"/>
        <s v="1N4AL3AP5FC124223"/>
        <s v="1N4AL2EP0DC231309"/>
        <s v="JN8AF5MV4DT218618"/>
        <s v="1N4AL3AP1FN326013"/>
        <s v="1N4AL3AP1FN331213"/>
        <s v="1N4AL3AP4DN548218"/>
        <s v="1N4AL3AP4FN310470"/>
        <s v="1N4AL3AP1DC259891"/>
        <s v="1N4AL3AP6DN518833"/>
        <s v="1N4AL3AP5DC262583"/>
        <s v="1N4AL2EP6DC191432"/>
        <s v="3N1CE2CP8FL371361"/>
        <s v="5YFBU4EE5DP216754"/>
        <s v="5TDKK3DC4DS344460"/>
        <s v="JTDKTUD33DD552876"/>
        <s v="1VWBP7A36DC103091"/>
        <s v="YV4940DL7D2432124"/>
        <s v="YV1612SB9F1202043"/>
        <s v="YV1612SB1F1201503"/>
        <s v="YV1612SBXF1202276"/>
        <s v="YV1612SB6F1202338"/>
        <s v="YV1612SB2F1201221"/>
        <s v="YV1612TB4F1310987"/>
        <s v="YV4902NB3F1196951"/>
        <s v="YV4902NB3F1198103"/>
        <s v="YV1612SB8F1201529"/>
      </sharedItems>
    </cacheField>
    <cacheField name="state" numFmtId="0">
      <sharedItems>
        <s v="CA"/>
      </sharedItems>
    </cacheField>
    <cacheField name="condition" numFmtId="0">
      <sharedItems containsSemiMixedTypes="0" containsString="0" containsNumber="1" containsInteger="1">
        <n v="25.0"/>
        <n v="49.0"/>
        <n v="41.0"/>
        <n v="48.0"/>
        <n v="42.0"/>
        <n v="38.0"/>
        <n v="28.0"/>
        <n v="5.0"/>
        <n v="2.0"/>
        <n v="43.0"/>
        <n v="29.0"/>
        <n v="37.0"/>
        <n v="34.0"/>
        <n v="47.0"/>
        <n v="4.0"/>
        <n v="32.0"/>
        <n v="45.0"/>
        <n v="1.0"/>
        <n v="44.0"/>
        <n v="31.0"/>
        <n v="17.0"/>
        <n v="3.0"/>
        <n v="19.0"/>
        <n v="26.0"/>
        <n v="46.0"/>
        <n v="36.0"/>
        <n v="39.0"/>
        <n v="24.0"/>
        <n v="35.0"/>
        <n v="33.0"/>
        <n v="21.0"/>
        <n v="27.0"/>
        <n v="22.0"/>
        <n v="23.0"/>
      </sharedItems>
    </cacheField>
    <cacheField name="odometer" numFmtId="0">
      <sharedItems containsSemiMixedTypes="0" containsString="0" containsNumber="1" containsInteger="1">
        <n v="9051.0"/>
        <n v="21523.0"/>
        <n v="12905.0"/>
        <n v="14414.0"/>
        <n v="9557.0"/>
        <n v="5875.0"/>
        <n v="3996.0"/>
        <n v="7983.0"/>
        <n v="5826.0"/>
        <n v="1906.0"/>
        <n v="31.0"/>
        <n v="32918.0"/>
        <n v="9606.0"/>
        <n v="37752.0"/>
        <n v="18152.0"/>
        <n v="14943.0"/>
        <n v="8819.0"/>
        <n v="7305.0"/>
        <n v="8891.0"/>
        <n v="7766.0"/>
        <n v="2641.0"/>
        <n v="379.0"/>
        <n v="19689.0"/>
        <n v="13386.0"/>
        <n v="15727.0"/>
        <n v="4503.0"/>
        <n v="15161.0"/>
        <n v="13205.0"/>
        <n v="10736.0"/>
        <n v="8037.0"/>
        <n v="16360.0"/>
        <n v="1331.0"/>
        <n v="9027.0"/>
        <n v="12292.0"/>
        <n v="25969.0"/>
        <n v="14599.0"/>
        <n v="8683.0"/>
        <n v="4436.0"/>
        <n v="7924.0"/>
        <n v="28617.0"/>
        <n v="20595.0"/>
        <n v="10673.0"/>
        <n v="37938.0"/>
        <n v="6726.0"/>
        <n v="36771.0"/>
        <n v="11874.0"/>
        <n v="11426.0"/>
        <n v="9914.0"/>
        <n v="17594.0"/>
        <n v="8154.0"/>
        <n v="9685.0"/>
        <n v="37888.0"/>
        <n v="13441.0"/>
        <n v="13606.0"/>
        <n v="6105.0"/>
        <n v="39623.0"/>
        <n v="4809.0"/>
        <n v="40661.0"/>
        <n v="40560.0"/>
        <n v="14538.0"/>
        <n v="4205.0"/>
        <n v="5559.0"/>
        <n v="7879.0"/>
        <n v="7800.0"/>
        <n v="14974.0"/>
        <n v="21463.0"/>
        <n v="56651.0"/>
        <n v="11439.0"/>
        <n v="37436.0"/>
        <n v="2606.0"/>
        <n v="16386.0"/>
        <n v="20663.0"/>
        <n v="13225.0"/>
        <n v="13736.0"/>
        <n v="25442.0"/>
        <n v="17367.0"/>
        <n v="18479.0"/>
        <n v="10474.0"/>
        <n v="11809.0"/>
        <n v="8595.0"/>
        <n v="9927.0"/>
        <n v="25960.0"/>
        <n v="34566.0"/>
        <n v="10747.0"/>
        <n v="42798.0"/>
        <n v="16684.0"/>
        <n v="19109.0"/>
        <n v="10564.0"/>
        <n v="16132.0"/>
        <n v="17831.0"/>
        <n v="19152.0"/>
        <n v="12154.0"/>
        <n v="11566.0"/>
        <n v="29006.0"/>
        <n v="8559.0"/>
        <n v="8467.0"/>
        <n v="9539.0"/>
        <n v="44135.0"/>
        <n v="6552.0"/>
        <n v="22143.0"/>
        <n v="33078.0"/>
        <n v="6747.0"/>
        <n v="20952.0"/>
        <n v="15758.0"/>
        <n v="35963.0"/>
        <n v="19893.0"/>
        <n v="19035.0"/>
        <n v="14076.0"/>
        <n v="27387.0"/>
        <n v="8495.0"/>
        <n v="22033.0"/>
        <n v="27532.0"/>
        <n v="33158.0"/>
        <n v="35518.0"/>
        <n v="15160.0"/>
        <n v="12730.0"/>
        <n v="11798.0"/>
        <n v="35995.0"/>
        <n v="32413.0"/>
        <n v="20.0"/>
        <n v="21579.0"/>
        <n v="13162.0"/>
        <n v="13871.0"/>
        <n v="11041.0"/>
        <n v="66.0"/>
        <n v="10241.0"/>
        <n v="41710.0"/>
        <n v="36307.0"/>
        <n v="37759.0"/>
        <n v="41841.0"/>
        <n v="34745.0"/>
        <n v="38170.0"/>
        <n v="38594.0"/>
        <n v="40322.0"/>
        <n v="38388.0"/>
        <n v="40045.0"/>
        <n v="37499.0"/>
        <n v="48510.0"/>
        <n v="35828.0"/>
        <n v="26412.0"/>
        <n v="32387.0"/>
        <n v="3367.0"/>
        <n v="39935.0"/>
        <n v="54830.0"/>
        <n v="36416.0"/>
        <n v="28231.0"/>
        <n v="37290.0"/>
        <n v="36194.0"/>
        <n v="36991.0"/>
        <n v="6759.0"/>
        <n v="36957.0"/>
        <n v="41888.0"/>
        <n v="39062.0"/>
        <n v="40593.0"/>
        <n v="42006.0"/>
        <n v="35824.0"/>
        <n v="15813.0"/>
        <n v="25895.0"/>
        <n v="34136.0"/>
        <n v="41481.0"/>
        <n v="7755.0"/>
        <n v="37060.0"/>
        <n v="50160.0"/>
        <n v="41783.0"/>
        <n v="35428.0"/>
        <n v="22961.0"/>
        <n v="24120.0"/>
        <n v="10551.0"/>
        <n v="999999.0"/>
        <n v="11099.0"/>
        <n v="37154.0"/>
        <n v="13505.0"/>
        <n v="47516.0"/>
        <n v="45991.0"/>
        <n v="10929.0"/>
        <n v="18420.0"/>
        <n v="12735.0"/>
        <n v="26792.0"/>
        <n v="16219.0"/>
        <n v="42887.0"/>
        <n v="42547.0"/>
        <n v="25859.0"/>
        <n v="24971.0"/>
        <n v="23507.0"/>
        <n v="19551.0"/>
        <n v="23156.0"/>
        <n v="13661.0"/>
        <n v="17916.0"/>
        <n v="9373.0"/>
        <n v="20408.0"/>
        <n v="36931.0"/>
        <n v="37738.0"/>
        <n v="10055.0"/>
        <n v="48156.0"/>
        <n v="21898.0"/>
        <n v="14716.0"/>
        <n v="68.0"/>
        <n v="24112.0"/>
        <n v="4859.0"/>
        <n v="21126.0"/>
        <n v="26675.0"/>
        <n v="19978.0"/>
        <n v="10532.0"/>
        <n v="20317.0"/>
        <n v="26888.0"/>
        <n v="7815.0"/>
        <n v="11250.0"/>
        <n v="16154.0"/>
        <n v="22405.0"/>
        <n v="28172.0"/>
        <n v="18600.0"/>
        <n v="11440.0"/>
        <n v="15208.0"/>
        <n v="29672.0"/>
        <n v="22165.0"/>
        <n v="21263.0"/>
        <n v="11847.0"/>
        <n v="15562.0"/>
        <n v="22021.0"/>
        <n v="16338.0"/>
        <n v="15131.0"/>
        <n v="28053.0"/>
        <n v="19587.0"/>
        <n v="20246.0"/>
        <n v="23104.0"/>
        <n v="5017.0"/>
        <n v="25132.0"/>
        <n v="14887.0"/>
        <n v="17090.0"/>
        <n v="24031.0"/>
        <n v="26396.0"/>
        <n v="16854.0"/>
        <n v="14486.0"/>
        <n v="19492.0"/>
        <n v="19368.0"/>
        <n v="25635.0"/>
        <n v="26907.0"/>
        <n v="14765.0"/>
        <n v="18673.0"/>
        <n v="16009.0"/>
        <n v="15260.0"/>
        <n v="20976.0"/>
        <n v="22294.0"/>
        <n v="30556.0"/>
        <n v="29731.0"/>
        <n v="13321.0"/>
        <n v="23420.0"/>
        <n v="28875.0"/>
        <n v="21557.0"/>
        <n v="20067.0"/>
        <n v="22354.0"/>
        <n v="28920.0"/>
        <n v="16605.0"/>
        <n v="28127.0"/>
        <n v="22828.0"/>
        <n v="23097.0"/>
        <n v="15802.0"/>
        <n v="27333.0"/>
        <n v="20263.0"/>
        <n v="28694.0"/>
        <n v="30464.0"/>
        <n v="10610.0"/>
        <n v="19573.0"/>
        <n v="20202.0"/>
        <n v="17541.0"/>
        <n v="23470.0"/>
        <n v="29782.0"/>
        <n v="10993.0"/>
        <n v="18921.0"/>
        <n v="17672.0"/>
        <n v="16486.0"/>
        <n v="11596.0"/>
        <n v="16153.0"/>
        <n v="9785.0"/>
        <n v="26843.0"/>
        <n v="18548.0"/>
        <n v="25016.0"/>
        <n v="9535.0"/>
        <n v="23481.0"/>
        <n v="13273.0"/>
        <n v="16833.0"/>
        <n v="20070.0"/>
        <n v="13632.0"/>
        <n v="20432.0"/>
        <n v="33838.0"/>
        <n v="19683.0"/>
        <n v="37527.0"/>
        <n v="23642.0"/>
        <n v="9338.0"/>
        <n v="46548.0"/>
        <n v="35450.0"/>
        <n v="13149.0"/>
        <n v="19058.0"/>
        <n v="9810.0"/>
        <n v="8691.0"/>
        <n v="32635.0"/>
        <n v="17337.0"/>
        <n v="24054.0"/>
        <n v="14264.0"/>
        <n v="40087.0"/>
        <n v="20707.0"/>
        <n v="32437.0"/>
        <n v="40101.0"/>
        <n v="6802.0"/>
        <n v="29907.0"/>
        <n v="6787.0"/>
        <n v="10067.0"/>
        <n v="6891.0"/>
        <n v="9153.0"/>
        <n v="39566.0"/>
        <n v="32090.0"/>
        <n v="31688.0"/>
        <n v="41173.0"/>
        <n v="41997.0"/>
        <n v="42482.0"/>
        <n v="2034.0"/>
        <n v="5214.0"/>
        <n v="14061.0"/>
        <n v="11699.0"/>
        <n v="14012.0"/>
        <n v="4668.0"/>
        <n v="59886.0"/>
        <n v="4850.0"/>
        <n v="8177.0"/>
        <n v="13929.0"/>
        <n v="11238.0"/>
        <n v="33980.0"/>
        <n v="16639.0"/>
        <n v="9393.0"/>
        <n v="14634.0"/>
        <n v="13757.0"/>
        <n v="12862.0"/>
        <n v="13878.0"/>
        <n v="10357.0"/>
        <n v="14176.0"/>
        <n v="9161.0"/>
        <n v="11001.0"/>
        <n v="13452.0"/>
        <n v="16348.0"/>
        <n v="9552.0"/>
        <n v="13711.0"/>
        <n v="10615.0"/>
        <n v="13031.0"/>
        <n v="16611.0"/>
        <n v="16045.0"/>
        <n v="11757.0"/>
        <n v="19543.0"/>
        <n v="48050.0"/>
        <n v="19078.0"/>
        <n v="22658.0"/>
        <n v="18554.0"/>
        <n v="21258.0"/>
        <n v="20984.0"/>
        <n v="21642.0"/>
        <n v="32685.0"/>
        <n v="71662.0"/>
        <n v="28790.0"/>
        <n v="24614.0"/>
        <n v="39476.0"/>
        <n v="24131.0"/>
        <n v="20209.0"/>
        <n v="31406.0"/>
        <n v="40331.0"/>
        <n v="26360.0"/>
        <n v="35707.0"/>
        <n v="37213.0"/>
        <n v="54978.0"/>
        <n v="13508.0"/>
        <n v="11342.0"/>
        <n v="67229.0"/>
        <n v="55885.0"/>
        <n v="48270.0"/>
        <n v="36667.0"/>
        <n v="81410.0"/>
        <n v="39081.0"/>
        <n v="38247.0"/>
        <n v="45800.0"/>
        <n v="9684.0"/>
        <n v="30333.0"/>
        <n v="5304.0"/>
        <n v="25524.0"/>
        <n v="9214.0"/>
        <n v="2059.0"/>
        <n v="5403.0"/>
        <n v="26757.0"/>
        <n v="21932.0"/>
        <n v="20880.0"/>
        <n v="39590.0"/>
        <n v="22672.0"/>
        <n v="24478.0"/>
        <n v="42813.0"/>
        <n v="7770.0"/>
        <n v="71.0"/>
        <n v="17786.0"/>
        <n v="21189.0"/>
        <n v="39459.0"/>
        <n v="44392.0"/>
        <n v="47917.0"/>
        <n v="39272.0"/>
        <n v="45649.0"/>
        <n v="41807.0"/>
        <n v="40275.0"/>
        <n v="7787.0"/>
        <n v="39573.0"/>
        <n v="14818.0"/>
        <n v="54715.0"/>
        <n v="40884.0"/>
        <n v="24252.0"/>
        <n v="37664.0"/>
        <n v="36898.0"/>
        <n v="46733.0"/>
        <n v="44289.0"/>
        <n v="23615.0"/>
        <n v="23941.0"/>
        <n v="21052.0"/>
        <n v="26853.0"/>
        <n v="16584.0"/>
        <n v="10862.0"/>
        <n v="20161.0"/>
        <n v="24168.0"/>
        <n v="6536.0"/>
        <n v="38407.0"/>
        <n v="22984.0"/>
        <n v="31064.0"/>
        <n v="19538.0"/>
        <n v="10616.0"/>
        <n v="31978.0"/>
        <n v="4995.0"/>
        <n v="10782.0"/>
        <n v="18960.0"/>
        <n v="19780.0"/>
        <n v="33776.0"/>
        <n v="23783.0"/>
        <n v="4811.0"/>
        <n v="14557.0"/>
        <n v="38691.0"/>
        <n v="36498.0"/>
        <n v="36000.0"/>
        <n v="36764.0"/>
        <n v="42973.0"/>
        <n v="41357.0"/>
        <n v="37713.0"/>
        <n v="39473.0"/>
        <n v="36990.0"/>
        <n v="40498.0"/>
        <n v="38311.0"/>
        <n v="36071.0"/>
        <n v="27059.0"/>
        <n v="38766.0"/>
        <n v="37136.0"/>
        <n v="62381.0"/>
        <n v="38974.0"/>
        <n v="37020.0"/>
        <n v="445.0"/>
        <n v="38688.0"/>
        <n v="40931.0"/>
        <n v="10506.0"/>
        <n v="10510.0"/>
        <n v="39159.0"/>
        <n v="37182.0"/>
        <n v="21968.0"/>
        <n v="1608.0"/>
        <n v="44303.0"/>
        <n v="39364.0"/>
        <n v="35900.0"/>
        <n v="38395.0"/>
        <n v="48463.0"/>
        <n v="42938.0"/>
        <n v="40425.0"/>
        <n v="36975.0"/>
        <n v="38666.0"/>
        <n v="45568.0"/>
        <n v="38444.0"/>
        <n v="45685.0"/>
        <n v="11398.0"/>
        <n v="33985.0"/>
        <n v="38134.0"/>
        <n v="5554.0"/>
        <n v="4314.0"/>
        <n v="37395.0"/>
        <n v="12752.0"/>
        <n v="47601.0"/>
        <n v="43262.0"/>
        <n v="35591.0"/>
        <n v="38530.0"/>
        <n v="5773.0"/>
        <n v="34915.0"/>
        <n v="49188.0"/>
        <n v="28412.0"/>
        <n v="22907.0"/>
        <n v="34933.0"/>
        <n v="11846.0"/>
        <n v="12242.0"/>
        <n v="10906.0"/>
        <n v="14806.0"/>
        <n v="12273.0"/>
        <n v="14282.0"/>
        <n v="12725.0"/>
        <n v="16506.0"/>
        <n v="13623.0"/>
      </sharedItems>
    </cacheField>
    <cacheField name="color" numFmtId="0">
      <sharedItems>
        <s v="Gray"/>
        <s v="White"/>
        <s v="Silver"/>
        <s v="Black"/>
        <s v="Red"/>
        <s v="Blue"/>
        <s v="Gold"/>
        <s v="Yellow"/>
        <s v="Beige"/>
        <s v="Green"/>
        <s v="Brown"/>
        <s v="Burgundy"/>
        <s v="Purple"/>
        <s v="Charcoal"/>
      </sharedItems>
    </cacheField>
    <cacheField name="interior" numFmtId="0">
      <sharedItems>
        <s v="Black"/>
        <s v="Gray"/>
        <s v="Brown"/>
        <s v="Beige"/>
        <s v="Burgundy"/>
        <s v="Tan"/>
        <s v="White"/>
      </sharedItems>
    </cacheField>
    <cacheField name="seller" numFmtId="0">
      <sharedItems>
        <s v="american honda motor company"/>
        <s v="onemain rem/m&amp;m auto traders"/>
        <s v="desert auto trade"/>
        <s v="audi mission viejo"/>
        <s v="fratelli investment group"/>
        <s v="audi north scottsdale"/>
        <s v="enterprise vehicle exchange / tra / rental / tulsa"/>
        <s v="audi west covina"/>
        <s v="audi of downtown l a"/>
        <s v="financial services remarketing (lease)"/>
        <s v="street smartz auto sales corporation"/>
        <s v="the hertz corporation"/>
        <s v="lease plan usa"/>
        <s v="rogue cu"/>
        <s v="tdaf remarketing"/>
        <s v="avis rac/san leandro"/>
        <s v="repo remarketing/visterra credit union"/>
        <s v="midway hfc fleet/ars"/>
        <s v="ars/acme auto leasing"/>
        <s v="enterprise vehicle exchange/orange"/>
        <s v="wells fargo dealer services"/>
        <s v="avis corporation"/>
        <s v="d/m auto sales inc"/>
        <s v="hyundai buybacks"/>
        <s v="hyundai motor america/co car"/>
        <s v="hyundai motor finance"/>
        <s v="fox rent a car tra"/>
        <s v="remarketing by ge/film vehicle services"/>
        <s v="dtg operations inc"/>
        <s v="hertz/tra"/>
        <s v="aaero sweet company"/>
        <s v="skyhigh remarketing inc"/>
        <s v="ag leaseplan"/>
        <s v="gm financial"/>
        <s v="enterprise veh exchange/rental"/>
        <s v="jpmorgan chase bank n.a."/>
        <s v="nissan infiniti lt"/>
        <s v="infiniti financial services"/>
        <s v="nissan north america inc."/>
        <s v="jaguar north america llc"/>
        <s v="clear view systems"/>
        <s v="chrysler capital"/>
        <s v="exeter finance corp"/>
        <s v="kia motors finance"/>
        <s v="kia motors america  inc"/>
        <s v="kia motors america  inc -lemon law buybacks"/>
        <s v="kia of cerritos"/>
        <s v="dollar thrifty damage liquidation"/>
        <s v="high bid trading co inc"/>
        <s v="primeritus remarketing/oregon comm credit"/>
        <s v="caprock auto remarketing"/>
        <s v="mercedes benz of laguna niguel"/>
        <s v="land rover north america llc"/>
        <s v="lexus financial services"/>
        <s v="mercedes benz of temecula"/>
        <s v="ubs wholesale"/>
        <s v="sunshine autos"/>
        <s v="south bay hyundai"/>
        <s v="tycon enterprises"/>
        <s v="california republic bank"/>
        <s v="hoehn motors inc"/>
        <s v="mercedes-benz usa"/>
        <s v="mercedes-benz financial services"/>
        <s v="mercedes-benz finc services premier program"/>
        <s v="us bank"/>
        <s v="team nissan"/>
        <s v="nissan dealer blend/ross nissan of el monte"/>
        <s v="nissan-infiniti lt"/>
        <s v="merchants automotive group"/>
        <s v="wheels exchange llc"/>
        <s v="merchants leasing"/>
        <s v="remarketing by ge/manheim southern california"/>
        <s v="vw credit"/>
        <s v="volvo na rep/world omni"/>
      </sharedItems>
    </cacheField>
    <cacheField name="mmr" numFmtId="0">
      <sharedItems containsSemiMixedTypes="0" containsString="0" containsNumber="1" containsInteger="1">
        <n v="22700.0"/>
        <n v="39500.0"/>
        <n v="19950.0"/>
        <n v="47300.0"/>
        <n v="32100.0"/>
        <n v="46500.0"/>
        <n v="41400.0"/>
        <n v="37100.0"/>
        <n v="24000.0"/>
        <n v="24100.0"/>
        <n v="24200.0"/>
        <n v="62000.0"/>
        <n v="48600.0"/>
        <n v="31000.0"/>
        <n v="69000.0"/>
        <n v="68000.0"/>
        <n v="65000.0"/>
        <n v="71000.0"/>
        <n v="66000.0"/>
        <n v="54800.0"/>
        <n v="23700.0"/>
        <n v="67000.0"/>
        <n v="57500.0"/>
        <n v="31900.0"/>
        <n v="30200.0"/>
        <n v="46300.0"/>
        <n v="34200.0"/>
        <n v="33500.0"/>
        <n v="49400.0"/>
        <n v="17850.0"/>
        <n v="11900.0"/>
        <n v="20800.0"/>
        <n v="14150.0"/>
        <n v="12950.0"/>
        <n v="26900.0"/>
        <n v="13000.0"/>
        <n v="22200.0"/>
        <n v="57300.0"/>
        <n v="22500.0"/>
        <n v="21500.0"/>
        <n v="31700.0"/>
        <n v="11600.0"/>
        <n v="17750.0"/>
        <n v="21400.0"/>
        <n v="16600.0"/>
        <n v="13350.0"/>
        <n v="26300.0"/>
        <n v="13050.0"/>
        <n v="12800.0"/>
        <n v="24300.0"/>
        <n v="14700.0"/>
        <n v="15350.0"/>
        <n v="13800.0"/>
        <n v="28300.0"/>
        <n v="27100.0"/>
        <n v="10250.0"/>
        <n v="28500.0"/>
        <n v="11400.0"/>
        <n v="13450.0"/>
        <n v="18000.0"/>
        <n v="19500.0"/>
        <n v="23400.0"/>
        <n v="18350.0"/>
        <n v="12150.0"/>
        <n v="16900.0"/>
        <n v="15000.0"/>
        <n v="14600.0"/>
        <n v="19100.0"/>
        <n v="10800.0"/>
        <n v="12100.0"/>
        <n v="20000.0"/>
        <n v="19850.0"/>
        <n v="11100.0"/>
        <n v="14900.0"/>
        <n v="16450.0"/>
        <n v="21200.0"/>
        <n v="21000.0"/>
        <n v="27900.0"/>
        <n v="36800.0"/>
        <n v="13150.0"/>
        <n v="15050.0"/>
        <n v="15450.0"/>
        <n v="11650.0"/>
        <n v="21800.0"/>
        <n v="17150.0"/>
        <n v="9675.0"/>
        <n v="11300.0"/>
        <n v="18650.0"/>
        <n v="21600.0"/>
        <n v="11500.0"/>
        <n v="18800.0"/>
        <n v="12500.0"/>
        <n v="19800.0"/>
        <n v="9950.0"/>
        <n v="15500.0"/>
        <n v="13100.0"/>
        <n v="12200.0"/>
        <n v="23100.0"/>
        <n v="25900.0"/>
        <n v="16150.0"/>
        <n v="20300.0"/>
        <n v="12350.0"/>
        <n v="18450.0"/>
        <n v="15100.0"/>
        <n v="11150.0"/>
        <n v="9425.0"/>
        <n v="12250.0"/>
        <n v="11350.0"/>
        <n v="12050.0"/>
        <n v="9600.0"/>
        <n v="12400.0"/>
        <n v="13900.0"/>
        <n v="11250.0"/>
        <n v="10950.0"/>
        <n v="12650.0"/>
        <n v="11800.0"/>
        <n v="12000.0"/>
        <n v="10500.0"/>
        <n v="12850.0"/>
        <n v="9700.0"/>
        <n v="35500.0"/>
        <n v="17600.0"/>
        <n v="16000.0"/>
        <n v="31500.0"/>
        <n v="11950.0"/>
        <n v="13850.0"/>
        <n v="8025.0"/>
        <n v="19650.0"/>
        <n v="14550.0"/>
        <n v="11850.0"/>
        <n v="15750.0"/>
        <n v="24700.0"/>
        <n v="22600.0"/>
        <n v="25700.0"/>
        <n v="21300.0"/>
        <n v="20500.0"/>
        <n v="22900.0"/>
        <n v="23000.0"/>
        <n v="23300.0"/>
        <n v="26100.0"/>
        <n v="23800.0"/>
        <n v="24900.0"/>
        <n v="23500.0"/>
        <n v="32000.0"/>
        <n v="25400.0"/>
        <n v="22800.0"/>
        <n v="27200.0"/>
        <n v="25100.0"/>
        <n v="30800.0"/>
        <n v="25200.0"/>
        <n v="22400.0"/>
        <n v="26800.0"/>
        <n v="22300.0"/>
        <n v="22100.0"/>
        <n v="23200.0"/>
        <n v="23900.0"/>
        <n v="25600.0"/>
        <n v="23600.0"/>
        <n v="25300.0"/>
        <n v="22000.0"/>
        <n v="24400.0"/>
        <n v="24500.0"/>
        <n v="21700.0"/>
        <n v="34700.0"/>
        <n v="20700.0"/>
        <n v="27300.0"/>
        <n v="34600.0"/>
        <n v="34800.0"/>
        <n v="27700.0"/>
        <n v="33700.0"/>
        <n v="34100.0"/>
        <n v="34300.0"/>
        <n v="12600.0"/>
        <n v="15150.0"/>
        <n v="19400.0"/>
        <n v="14050.0"/>
        <n v="10200.0"/>
        <n v="10650.0"/>
        <n v="14450.0"/>
        <n v="20600.0"/>
        <n v="16050.0"/>
        <n v="15900.0"/>
        <n v="15700.0"/>
        <n v="15950.0"/>
        <n v="9225.0"/>
        <n v="14000.0"/>
        <n v="16800.0"/>
        <n v="16200.0"/>
        <n v="9775.0"/>
        <n v="12900.0"/>
        <n v="8725.0"/>
        <n v="7050.0"/>
        <n v="9475.0"/>
        <n v="18300.0"/>
        <n v="9175.0"/>
        <n v="9375.0"/>
        <n v="6775.0"/>
        <n v="8075.0"/>
        <n v="8550.0"/>
        <n v="41000.0"/>
        <n v="35400.0"/>
        <n v="37400.0"/>
        <n v="58500.0"/>
        <n v="38600.0"/>
        <n v="61000.0"/>
        <n v="36200.0"/>
        <n v="29400.0"/>
        <n v="34500.0"/>
        <n v="28900.0"/>
        <n v="41200.0"/>
        <n v="8475.0"/>
        <n v="9100.0"/>
        <n v="18850.0"/>
        <n v="14200.0"/>
        <n v="9900.0"/>
        <n v="9825.0"/>
        <n v="11750.0"/>
        <n v="19150.0"/>
        <n v="19050.0"/>
        <n v="29500.0"/>
        <n v="46200.0"/>
        <n v="57200.0"/>
        <n v="55300.0"/>
        <n v="40400.0"/>
        <n v="53300.0"/>
        <n v="33200.0"/>
        <n v="26000.0"/>
        <n v="49500.0"/>
        <n v="55100.0"/>
        <n v="53000.0"/>
        <n v="47900.0"/>
        <n v="13550.0"/>
        <n v="12750.0"/>
        <n v="13500.0"/>
        <n v="16300.0"/>
        <n v="15650.0"/>
        <n v="14300.0"/>
        <n v="14750.0"/>
        <n v="19600.0"/>
        <n v="11700.0"/>
        <n v="13400.0"/>
        <n v="29800.0"/>
        <n v="13650.0"/>
        <n v="10900.0"/>
        <n v="12550.0"/>
        <n v="13200.0"/>
        <n v="13700.0"/>
        <n v="13750.0"/>
        <n v="13600.0"/>
        <n v="31300.0"/>
        <n v="31200.0"/>
        <n v="30700.0"/>
        <n v="27500.0"/>
        <n v="32300.0"/>
        <n v="28400.0"/>
      </sharedItems>
    </cacheField>
    <cacheField name="sellingprice" numFmtId="0">
      <sharedItems containsSemiMixedTypes="0" containsString="0" containsNumber="1" containsInteger="1">
        <n v="21250.0"/>
        <n v="41500.0"/>
        <n v="20400.0"/>
        <n v="49750.0"/>
        <n v="32250.0"/>
        <n v="44500.0"/>
        <n v="34250.0"/>
        <n v="40000.0"/>
        <n v="23750.0"/>
        <n v="25750.0"/>
        <n v="17300.0"/>
        <n v="50000.0"/>
        <n v="47500.0"/>
        <n v="58000.0"/>
        <n v="39750.0"/>
        <n v="65000.0"/>
        <n v="67200.0"/>
        <n v="66100.0"/>
        <n v="77250.0"/>
        <n v="67000.0"/>
        <n v="51700.0"/>
        <n v="26500.0"/>
        <n v="57250.0"/>
        <n v="65801.0"/>
        <n v="64250.0"/>
        <n v="30000.0"/>
        <n v="27500.0"/>
        <n v="46500.0"/>
        <n v="24100.0"/>
        <n v="44000.0"/>
        <n v="18500.0"/>
        <n v="9800.0"/>
        <n v="13600.0"/>
        <n v="3300.0"/>
        <n v="13700.0"/>
        <n v="30250.0"/>
        <n v="19500.0"/>
        <n v="59900.0"/>
        <n v="20600.0"/>
        <n v="19600.0"/>
        <n v="10000.0"/>
        <n v="11500.0"/>
        <n v="17000.0"/>
        <n v="13000.0"/>
        <n v="13200.0"/>
        <n v="17500.0"/>
        <n v="12800.0"/>
        <n v="7200.0"/>
        <n v="12000.0"/>
        <n v="10500.0"/>
        <n v="9000.0"/>
        <n v="27000.0"/>
        <n v="27400.0"/>
        <n v="10700.0"/>
        <n v="30800.0"/>
        <n v="8800.0"/>
        <n v="12300.0"/>
        <n v="18800.0"/>
        <n v="19200.0"/>
        <n v="26000.0"/>
        <n v="17700.0"/>
        <n v="6700.0"/>
        <n v="18100.0"/>
        <n v="16100.0"/>
        <n v="11300.0"/>
        <n v="20300.0"/>
        <n v="25800.0"/>
        <n v="7600.0"/>
        <n v="14800.0"/>
        <n v="16500.0"/>
        <n v="21400.0"/>
        <n v="18200.0"/>
        <n v="22200.0"/>
        <n v="25000.0"/>
        <n v="8700.0"/>
        <n v="10800.0"/>
        <n v="16300.0"/>
        <n v="14900.0"/>
        <n v="8400.0"/>
        <n v="17100.0"/>
        <n v="7800.0"/>
        <n v="11900.0"/>
        <n v="22500.0"/>
        <n v="12600.0"/>
        <n v="25500.0"/>
        <n v="11400.0"/>
        <n v="9400.0"/>
        <n v="23000.0"/>
        <n v="18400.0"/>
        <n v="27200.0"/>
        <n v="19900.0"/>
        <n v="18600.0"/>
        <n v="15900.0"/>
        <n v="12500.0"/>
        <n v="20800.0"/>
        <n v="16900.0"/>
        <n v="7700.0"/>
        <n v="11700.0"/>
        <n v="11800.0"/>
        <n v="12700.0"/>
        <n v="11600.0"/>
        <n v="12400.0"/>
        <n v="6500.0"/>
        <n v="11750.0"/>
        <n v="9750.0"/>
        <n v="11000.0"/>
        <n v="13400.0"/>
        <n v="5800.0"/>
        <n v="12200.0"/>
        <n v="9500.0"/>
        <n v="12900.0"/>
        <n v="8100.0"/>
        <n v="36000.0"/>
        <n v="10100.0"/>
        <n v="17400.0"/>
        <n v="16200.0"/>
        <n v="5200.0"/>
        <n v="10600.0"/>
        <n v="2500.0"/>
        <n v="12100.0"/>
        <n v="13800.0"/>
        <n v="17200.0"/>
        <n v="21000.0"/>
        <n v="18250.0"/>
        <n v="18000.0"/>
        <n v="17250.0"/>
        <n v="21750.0"/>
        <n v="24750.0"/>
        <n v="26250.0"/>
        <n v="24000.0"/>
        <n v="22250.0"/>
        <n v="27250.0"/>
        <n v="26750.0"/>
        <n v="24500.0"/>
        <n v="32000.0"/>
        <n v="23250.0"/>
        <n v="23500.0"/>
        <n v="22750.0"/>
        <n v="25250.0"/>
        <n v="22000.0"/>
        <n v="21500.0"/>
        <n v="20500.0"/>
        <n v="24250.0"/>
        <n v="20250.0"/>
        <n v="34500.0"/>
        <n v="28250.0"/>
        <n v="28750.0"/>
        <n v="33500.0"/>
        <n v="18750.0"/>
        <n v="20750.0"/>
        <n v="35250.0"/>
        <n v="13900.0"/>
        <n v="19300.0"/>
        <n v="6900.0"/>
        <n v="14200.0"/>
        <n v="7000.0"/>
        <n v="6300.0"/>
        <n v="15300.0"/>
        <n v="14300.0"/>
        <n v="10400.0"/>
        <n v="16800.0"/>
        <n v="12750.0"/>
        <n v="5500.0"/>
        <n v="15700.0"/>
        <n v="16400.0"/>
        <n v="16600.0"/>
        <n v="15250.0"/>
        <n v="14000.0"/>
        <n v="13500.0"/>
        <n v="6000.0"/>
        <n v="8900.0"/>
        <n v="15200.0"/>
        <n v="13300.0"/>
        <n v="9200.0"/>
        <n v="7500.0"/>
        <n v="19000.0"/>
        <n v="2700.0"/>
        <n v="8500.0"/>
        <n v="3850.0"/>
        <n v="41000.0"/>
        <n v="35500.0"/>
        <n v="39000.0"/>
        <n v="42000.0"/>
        <n v="30500.0"/>
        <n v="60000.0"/>
        <n v="37750.0"/>
        <n v="29300.0"/>
        <n v="32100.0"/>
        <n v="27750.0"/>
        <n v="31000.0"/>
        <n v="38400.0"/>
        <n v="64000.0"/>
        <n v="33000.0"/>
        <n v="31900.0"/>
        <n v="9600.0"/>
        <n v="15000.0"/>
        <n v="9100.0"/>
        <n v="13100.0"/>
        <n v="20000.0"/>
        <n v="48000.0"/>
        <n v="46750.0"/>
        <n v="56250.0"/>
        <n v="42750.0"/>
        <n v="54000.0"/>
        <n v="30750.0"/>
        <n v="34750.0"/>
        <n v="31750.0"/>
        <n v="45500.0"/>
        <n v="51500.0"/>
        <n v="14700.0"/>
        <n v="14600.0"/>
        <n v="18900.0"/>
        <n v="15500.0"/>
        <n v="13750.0"/>
        <n v="14100.0"/>
        <n v="8000.0"/>
        <n v="14400.0"/>
        <n v="10900.0"/>
        <n v="22900.0"/>
        <n v="32500.0"/>
        <n v="28000.0"/>
      </sharedItems>
    </cacheField>
    <cacheField name="saledate" numFmtId="164">
      <sharedItems containsSemiMixedTypes="0" containsDate="1" containsString="0">
        <d v="2014-12-18T00:00:00Z"/>
        <d v="2014-12-16T00:00:00Z"/>
        <d v="2014-12-23T00:00:00Z"/>
        <d v="2014-12-30T00:00:00Z"/>
        <d v="2015-01-29T00:00:00Z"/>
        <d v="2014-12-17T00:00:00Z"/>
        <d v="2015-01-06T00:00:00Z"/>
        <d v="2015-01-13T00:00:00Z"/>
        <d v="2015-01-15T00:00:00Z"/>
        <d v="2015-02-03T00:00:00Z"/>
        <d v="2015-02-04T00:00:00Z"/>
        <d v="2015-01-14T00:00:00Z"/>
        <d v="2015-01-20T00:00:00Z"/>
        <d v="2015-01-22T00:00:00Z"/>
        <d v="2015-02-12T00:00:00Z"/>
        <d v="2015-07-07T00:00:00Z"/>
        <d v="2014-12-31T00:00:00Z"/>
        <d v="2015-01-27T00:00:00Z"/>
        <d v="2015-02-17T00:00:00Z"/>
        <d v="2015-01-21T00:00:00Z"/>
        <d v="2014-12-26T00:00:00Z"/>
        <d v="2015-01-07T00:00:00Z"/>
        <d v="2015-01-08T00:00:00Z"/>
        <d v="2015-02-26T00:00:00Z"/>
      </sharedItems>
    </cacheField>
    <cacheField name="saleday" numFmtId="0">
      <sharedItems>
        <s v="Thursday"/>
        <s v="Tuesday"/>
        <s v="Wednesday"/>
        <s v="Friday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Sales Trends" cacheId="0" dataCaption="" compact="0" compactData="0">
  <location ref="B3:D8" firstHeaderRow="0" firstDataRow="2" firstDataCol="0"/>
  <pivotFields>
    <pivotField name="year" compact="0" outline="0" multipleItemSelectionAllowed="1" showAll="0">
      <items>
        <item x="0"/>
        <item x="1"/>
        <item x="2"/>
        <item t="default"/>
      </items>
    </pivotField>
    <pivotField name="ma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mod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tri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bod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ransmission" compact="0" outline="0" multipleItemSelectionAllowed="1" showAll="0">
      <items>
        <item x="0"/>
        <item x="1"/>
        <item t="default"/>
      </items>
    </pivotField>
    <pivotField name="vi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state" compact="0" outline="0" multipleItemSelectionAllowed="1" showAll="0">
      <items>
        <item x="0"/>
        <item t="default"/>
      </items>
    </pivotField>
    <pivotField name="condi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odome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col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interio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ell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mm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t="default"/>
      </items>
    </pivotField>
    <pivotField name="selling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t="default"/>
      </items>
    </pivotField>
    <pivotField name="saledate" axis="axisRow" compact="0" numFmtId="164" outline="0" multipleItemSelectionAllowed="1" showAll="0" sortType="ascending">
      <items>
        <item x="1"/>
        <item x="5"/>
        <item x="0"/>
        <item x="2"/>
        <item x="20"/>
        <item x="3"/>
        <item x="16"/>
        <item x="6"/>
        <item x="21"/>
        <item x="22"/>
        <item x="7"/>
        <item x="11"/>
        <item x="8"/>
        <item x="12"/>
        <item x="19"/>
        <item x="13"/>
        <item x="17"/>
        <item x="4"/>
        <item x="9"/>
        <item x="10"/>
        <item x="14"/>
        <item x="18"/>
        <item x="23"/>
        <item x="15"/>
        <item t="default"/>
      </items>
    </pivotField>
    <pivotField name="saleday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5"/>
  </rowFields>
  <colFields>
    <field x="-2"/>
  </colFields>
  <dataFields>
    <dataField name="Total Revenue" fld="14" baseField="0"/>
    <dataField name="Count of Cars" fld="6" subtotal="count" baseField="0"/>
  </dataFields>
  <pivotTableStyleInfo name="Google Sheets Pivot Table Style" showRowHeaders="1" showColHeaders="1" showLastColumn="1"/>
</pivotTableDefinition>
</file>

<file path=xl/pivotTables/pivotTable2.xml><?xml version="1.0" encoding="utf-8"?>
<pivotTableDefinition xmlns="http://schemas.openxmlformats.org/spreadsheetml/2006/main" name="Sales Trends 2" cacheId="1" dataCaption="" compact="0" compactData="0">
  <location ref="G3:I8" firstHeaderRow="0" firstDataRow="2" firstDataCol="0"/>
  <pivotFields>
    <pivotField name="year" compact="0" outline="0" multipleItemSelectionAllowed="1" showAll="0">
      <items>
        <item x="0"/>
        <item x="1"/>
        <item x="2"/>
        <item t="default"/>
      </items>
    </pivotField>
    <pivotField name="ma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mod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tri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bod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ransmission" compact="0" outline="0" multipleItemSelectionAllowed="1" showAll="0">
      <items>
        <item x="0"/>
        <item x="1"/>
        <item t="default"/>
      </items>
    </pivotField>
    <pivotField name="vi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state" compact="0" outline="0" multipleItemSelectionAllowed="1" showAll="0">
      <items>
        <item x="0"/>
        <item t="default"/>
      </items>
    </pivotField>
    <pivotField name="condi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odome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ame="col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interio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ell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mm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t="default"/>
      </items>
    </pivotField>
    <pivotField name="selling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t="default"/>
      </items>
    </pivotField>
    <pivotField name="sale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aleday" axis="axisRow" compact="0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6"/>
  </rowFields>
  <colFields>
    <field x="-2"/>
  </colFields>
  <dataFields>
    <dataField name="Average Price" fld="14" subtotal="average" baseField="0"/>
    <dataField name="Count of Cars" fld="6" subtotal="count" baseField="0"/>
  </dataFields>
  <pivotTableStyleInfo name="Google Sheets Pivot Table Style" showRowHeaders="1" showColHeaders="1" showLastColumn="1"/>
</pivotTableDefinition>
</file>

<file path=xl/tables/table1.xml><?xml version="1.0" encoding="utf-8"?>
<table xmlns="http://schemas.openxmlformats.org/spreadsheetml/2006/main" ref="A1:Q501" displayName="Table1" name="Table1" id="1">
  <tableColumns count="17">
    <tableColumn name="year" id="1"/>
    <tableColumn name="make" id="2"/>
    <tableColumn name="model" id="3"/>
    <tableColumn name="trim" id="4"/>
    <tableColumn name="body" id="5"/>
    <tableColumn name="transmission" id="6"/>
    <tableColumn name="vin" id="7"/>
    <tableColumn name="state" id="8"/>
    <tableColumn name="condition" id="9"/>
    <tableColumn name="odometer" id="10"/>
    <tableColumn name="color" id="11"/>
    <tableColumn name="interior" id="12"/>
    <tableColumn name="seller" id="13"/>
    <tableColumn name="mmr" id="14"/>
    <tableColumn name="sellingprice" id="15"/>
    <tableColumn name="saledate" id="16"/>
    <tableColumn name="saleday" id="17"/>
  </tableColumns>
  <tableStyleInfo name="Data-style" showColumnStripes="0" showFirstColumn="1" showLastColumn="1" showRowStripes="1"/>
</table>
</file>

<file path=xl/tables/table2.xml><?xml version="1.0" encoding="utf-8"?>
<table xmlns="http://schemas.openxmlformats.org/spreadsheetml/2006/main" ref="A3:D27" displayName="BrandSalesTable" name="BrandSalesTable" id="2">
  <tableColumns count="4">
    <tableColumn name="Brand (Make)" id="1"/>
    <tableColumn name="Total Sales Revenue" id="2"/>
    <tableColumn name="Average Selling Price" id="3"/>
    <tableColumn name="Sales Count" id="4"/>
  </tableColumns>
  <tableStyleInfo name="Brand Sales &amp; Average Price Rep-style" showColumnStripes="0" showFirstColumn="1" showLastColumn="1" showRowStripes="1"/>
</table>
</file>

<file path=xl/tables/table3.xml><?xml version="1.0" encoding="utf-8"?>
<table xmlns="http://schemas.openxmlformats.org/spreadsheetml/2006/main" totalsRowCount="1" ref="A3:C19" displayName="Model" name="Model" id="3">
  <tableColumns count="3">
    <tableColumn name="Brand" id="1"/>
    <tableColumn totalsRowLabel="Grand Total" name="Model" id="2"/>
    <tableColumn totalsRowFunction="custom" name="Sales Volume" id="3"/>
  </tableColumns>
  <tableStyleInfo name="Model Analysis-style" showColumnStripes="0" showFirstColumn="1" showLastColumn="1" showRowStripes="1"/>
</table>
</file>

<file path=xl/tables/table4.xml><?xml version="1.0" encoding="utf-8"?>
<table xmlns="http://schemas.openxmlformats.org/spreadsheetml/2006/main" totalsRowCount="1" ref="B3:D8" displayName="Table_1" name="Table_1" id="4">
  <tableColumns count="3">
    <tableColumn totalsRowLabel="Grand Total" name="saledate - Year-Month" id="1"/>
    <tableColumn totalsRowLabel="$10,955,601.00" name="Total Revenue" id="2"/>
    <tableColumn totalsRowLabel="500" name="Count of Cars" id="3"/>
  </tableColumns>
  <tableStyleInfo name="Sales Trends-style" showColumnStripes="0" showFirstColumn="1" showLastColumn="1" showRowStripes="1"/>
</table>
</file>

<file path=xl/tables/table5.xml><?xml version="1.0" encoding="utf-8"?>
<table xmlns="http://schemas.openxmlformats.org/spreadsheetml/2006/main" totalsRowCount="1" ref="G3:I28" displayName="Table_2" name="Table_2" id="5">
  <tableColumns count="3">
    <tableColumn name="saleday" id="1"/>
    <tableColumn name="Average Price" id="2"/>
    <tableColumn name="Count of Cars" id="3"/>
  </tableColumns>
  <tableStyleInfo name="Sales Trend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4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2.88"/>
    <col customWidth="1" min="3" max="3" width="16.38"/>
    <col customWidth="1" min="5" max="5" width="16.25"/>
    <col customWidth="1" min="6" max="6" width="18.38"/>
    <col customWidth="1" min="7" max="7" width="23.75"/>
    <col customWidth="1" min="9" max="9" width="15.63"/>
    <col customWidth="1" min="10" max="10" width="15.88"/>
    <col customWidth="1" min="12" max="12" width="14.0"/>
    <col customWidth="1" min="13" max="13" width="37.13"/>
    <col customWidth="1" min="15" max="15" width="17.25"/>
    <col customWidth="1" min="16" max="16" width="15.13"/>
    <col customWidth="1" min="17" max="17" width="14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2.5" customHeight="1">
      <c r="A2" s="2">
        <v>2014.0</v>
      </c>
      <c r="B2" s="3" t="s">
        <v>17</v>
      </c>
      <c r="C2" s="3" t="s">
        <v>18</v>
      </c>
      <c r="D2" s="4" t="s">
        <v>19</v>
      </c>
      <c r="E2" s="3" t="s">
        <v>20</v>
      </c>
      <c r="F2" s="3" t="s">
        <v>21</v>
      </c>
      <c r="G2" s="3" t="s">
        <v>22</v>
      </c>
      <c r="H2" s="4" t="s">
        <v>23</v>
      </c>
      <c r="I2" s="2">
        <v>25.0</v>
      </c>
      <c r="J2" s="2">
        <v>9051.0</v>
      </c>
      <c r="K2" s="3" t="s">
        <v>24</v>
      </c>
      <c r="L2" s="3" t="s">
        <v>25</v>
      </c>
      <c r="M2" s="4" t="s">
        <v>26</v>
      </c>
      <c r="N2" s="2">
        <v>22700.0</v>
      </c>
      <c r="O2" s="2">
        <v>21250.0</v>
      </c>
      <c r="P2" s="5">
        <v>41991.0</v>
      </c>
      <c r="Q2" s="3" t="s">
        <v>27</v>
      </c>
    </row>
    <row r="3" ht="22.5" customHeight="1">
      <c r="A3" s="2">
        <v>2014.0</v>
      </c>
      <c r="B3" s="3" t="s">
        <v>17</v>
      </c>
      <c r="C3" s="3" t="s">
        <v>28</v>
      </c>
      <c r="D3" s="4" t="s">
        <v>29</v>
      </c>
      <c r="E3" s="3" t="s">
        <v>30</v>
      </c>
      <c r="F3" s="3" t="s">
        <v>21</v>
      </c>
      <c r="G3" s="3" t="s">
        <v>31</v>
      </c>
      <c r="H3" s="4" t="s">
        <v>23</v>
      </c>
      <c r="I3" s="2">
        <v>49.0</v>
      </c>
      <c r="J3" s="2">
        <v>21523.0</v>
      </c>
      <c r="K3" s="3" t="s">
        <v>32</v>
      </c>
      <c r="L3" s="3" t="s">
        <v>24</v>
      </c>
      <c r="M3" s="4" t="s">
        <v>33</v>
      </c>
      <c r="N3" s="2">
        <v>39500.0</v>
      </c>
      <c r="O3" s="2">
        <v>41500.0</v>
      </c>
      <c r="P3" s="5">
        <v>41991.0</v>
      </c>
      <c r="Q3" s="3" t="s">
        <v>27</v>
      </c>
    </row>
    <row r="4" ht="22.5" customHeight="1">
      <c r="A4" s="2">
        <v>2014.0</v>
      </c>
      <c r="B4" s="3" t="s">
        <v>17</v>
      </c>
      <c r="C4" s="3" t="s">
        <v>18</v>
      </c>
      <c r="D4" s="4" t="s">
        <v>34</v>
      </c>
      <c r="E4" s="3" t="s">
        <v>20</v>
      </c>
      <c r="F4" s="3" t="s">
        <v>21</v>
      </c>
      <c r="G4" s="3" t="s">
        <v>35</v>
      </c>
      <c r="H4" s="4" t="s">
        <v>23</v>
      </c>
      <c r="I4" s="2">
        <v>41.0</v>
      </c>
      <c r="J4" s="2">
        <v>12905.0</v>
      </c>
      <c r="K4" s="3" t="s">
        <v>36</v>
      </c>
      <c r="L4" s="3" t="s">
        <v>24</v>
      </c>
      <c r="M4" s="4" t="s">
        <v>26</v>
      </c>
      <c r="N4" s="2">
        <v>19950.0</v>
      </c>
      <c r="O4" s="2">
        <v>20400.0</v>
      </c>
      <c r="P4" s="5">
        <v>41991.0</v>
      </c>
      <c r="Q4" s="3" t="s">
        <v>27</v>
      </c>
    </row>
    <row r="5" ht="22.5" customHeight="1">
      <c r="A5" s="2">
        <v>2014.0</v>
      </c>
      <c r="B5" s="3" t="s">
        <v>37</v>
      </c>
      <c r="C5" s="3" t="s">
        <v>38</v>
      </c>
      <c r="D5" s="4" t="s">
        <v>39</v>
      </c>
      <c r="E5" s="3" t="s">
        <v>20</v>
      </c>
      <c r="F5" s="3" t="s">
        <v>21</v>
      </c>
      <c r="G5" s="3" t="s">
        <v>40</v>
      </c>
      <c r="H5" s="4" t="s">
        <v>23</v>
      </c>
      <c r="I5" s="2">
        <v>48.0</v>
      </c>
      <c r="J5" s="2">
        <v>14414.0</v>
      </c>
      <c r="K5" s="3" t="s">
        <v>25</v>
      </c>
      <c r="L5" s="3" t="s">
        <v>25</v>
      </c>
      <c r="M5" s="4" t="s">
        <v>41</v>
      </c>
      <c r="N5" s="2">
        <v>47300.0</v>
      </c>
      <c r="O5" s="2">
        <v>49750.0</v>
      </c>
      <c r="P5" s="5">
        <v>41989.0</v>
      </c>
      <c r="Q5" s="3" t="s">
        <v>42</v>
      </c>
    </row>
    <row r="6" ht="22.5" customHeight="1">
      <c r="A6" s="2">
        <v>2014.0</v>
      </c>
      <c r="B6" s="3" t="s">
        <v>37</v>
      </c>
      <c r="C6" s="3" t="s">
        <v>43</v>
      </c>
      <c r="D6" s="4" t="s">
        <v>44</v>
      </c>
      <c r="E6" s="3" t="s">
        <v>20</v>
      </c>
      <c r="F6" s="3" t="s">
        <v>21</v>
      </c>
      <c r="G6" s="3" t="s">
        <v>45</v>
      </c>
      <c r="H6" s="4" t="s">
        <v>23</v>
      </c>
      <c r="I6" s="2">
        <v>42.0</v>
      </c>
      <c r="J6" s="2">
        <v>9557.0</v>
      </c>
      <c r="K6" s="3" t="s">
        <v>32</v>
      </c>
      <c r="L6" s="3" t="s">
        <v>25</v>
      </c>
      <c r="M6" s="4" t="s">
        <v>46</v>
      </c>
      <c r="N6" s="2">
        <v>32100.0</v>
      </c>
      <c r="O6" s="2">
        <v>32250.0</v>
      </c>
      <c r="P6" s="5">
        <v>41991.0</v>
      </c>
      <c r="Q6" s="3" t="s">
        <v>27</v>
      </c>
    </row>
    <row r="7" ht="22.5" customHeight="1">
      <c r="A7" s="2">
        <v>2014.0</v>
      </c>
      <c r="B7" s="3" t="s">
        <v>37</v>
      </c>
      <c r="C7" s="3" t="s">
        <v>47</v>
      </c>
      <c r="D7" s="4" t="s">
        <v>48</v>
      </c>
      <c r="E7" s="3" t="s">
        <v>49</v>
      </c>
      <c r="F7" s="3" t="s">
        <v>21</v>
      </c>
      <c r="G7" s="3" t="s">
        <v>50</v>
      </c>
      <c r="H7" s="4" t="s">
        <v>23</v>
      </c>
      <c r="I7" s="2">
        <v>38.0</v>
      </c>
      <c r="J7" s="2">
        <v>5875.0</v>
      </c>
      <c r="K7" s="3" t="s">
        <v>25</v>
      </c>
      <c r="L7" s="3" t="s">
        <v>25</v>
      </c>
      <c r="M7" s="4" t="s">
        <v>51</v>
      </c>
      <c r="N7" s="2">
        <v>46500.0</v>
      </c>
      <c r="O7" s="2">
        <v>44500.0</v>
      </c>
      <c r="P7" s="5">
        <v>41991.0</v>
      </c>
      <c r="Q7" s="3" t="s">
        <v>27</v>
      </c>
    </row>
    <row r="8" ht="22.5" customHeight="1">
      <c r="A8" s="2">
        <v>2014.0</v>
      </c>
      <c r="B8" s="3" t="s">
        <v>37</v>
      </c>
      <c r="C8" s="3" t="s">
        <v>52</v>
      </c>
      <c r="D8" s="4" t="s">
        <v>53</v>
      </c>
      <c r="E8" s="3" t="s">
        <v>49</v>
      </c>
      <c r="F8" s="3" t="s">
        <v>21</v>
      </c>
      <c r="G8" s="3" t="s">
        <v>54</v>
      </c>
      <c r="H8" s="4" t="s">
        <v>23</v>
      </c>
      <c r="I8" s="2">
        <v>28.0</v>
      </c>
      <c r="J8" s="2">
        <v>3996.0</v>
      </c>
      <c r="K8" s="3" t="s">
        <v>36</v>
      </c>
      <c r="L8" s="3" t="s">
        <v>25</v>
      </c>
      <c r="M8" s="4" t="s">
        <v>51</v>
      </c>
      <c r="N8" s="2">
        <v>41400.0</v>
      </c>
      <c r="O8" s="2">
        <v>34250.0</v>
      </c>
      <c r="P8" s="5">
        <v>41991.0</v>
      </c>
      <c r="Q8" s="3" t="s">
        <v>27</v>
      </c>
    </row>
    <row r="9" ht="22.5" customHeight="1">
      <c r="A9" s="2">
        <v>2014.0</v>
      </c>
      <c r="B9" s="3" t="s">
        <v>37</v>
      </c>
      <c r="C9" s="3" t="s">
        <v>55</v>
      </c>
      <c r="D9" s="4" t="s">
        <v>44</v>
      </c>
      <c r="E9" s="3" t="s">
        <v>30</v>
      </c>
      <c r="F9" s="3" t="s">
        <v>21</v>
      </c>
      <c r="G9" s="3" t="s">
        <v>56</v>
      </c>
      <c r="H9" s="4" t="s">
        <v>23</v>
      </c>
      <c r="I9" s="2">
        <v>49.0</v>
      </c>
      <c r="J9" s="2">
        <v>7983.0</v>
      </c>
      <c r="K9" s="3" t="s">
        <v>32</v>
      </c>
      <c r="L9" s="3" t="s">
        <v>25</v>
      </c>
      <c r="M9" s="4" t="s">
        <v>57</v>
      </c>
      <c r="N9" s="2">
        <v>37100.0</v>
      </c>
      <c r="O9" s="2">
        <v>40000.0</v>
      </c>
      <c r="P9" s="5">
        <v>41991.0</v>
      </c>
      <c r="Q9" s="3" t="s">
        <v>27</v>
      </c>
    </row>
    <row r="10" ht="22.5" customHeight="1">
      <c r="A10" s="2">
        <v>2015.0</v>
      </c>
      <c r="B10" s="3" t="s">
        <v>37</v>
      </c>
      <c r="C10" s="3" t="s">
        <v>58</v>
      </c>
      <c r="D10" s="4" t="s">
        <v>59</v>
      </c>
      <c r="E10" s="3" t="s">
        <v>20</v>
      </c>
      <c r="F10" s="3" t="s">
        <v>21</v>
      </c>
      <c r="G10" s="3" t="s">
        <v>60</v>
      </c>
      <c r="H10" s="4" t="s">
        <v>23</v>
      </c>
      <c r="I10" s="2">
        <v>49.0</v>
      </c>
      <c r="J10" s="2">
        <v>5826.0</v>
      </c>
      <c r="K10" s="3" t="s">
        <v>24</v>
      </c>
      <c r="L10" s="3" t="s">
        <v>25</v>
      </c>
      <c r="M10" s="4" t="s">
        <v>57</v>
      </c>
      <c r="N10" s="2">
        <v>24000.0</v>
      </c>
      <c r="O10" s="2">
        <v>23750.0</v>
      </c>
      <c r="P10" s="5">
        <v>41991.0</v>
      </c>
      <c r="Q10" s="3" t="s">
        <v>27</v>
      </c>
    </row>
    <row r="11" ht="22.5" customHeight="1">
      <c r="A11" s="2">
        <v>2015.0</v>
      </c>
      <c r="B11" s="3" t="s">
        <v>37</v>
      </c>
      <c r="C11" s="3" t="s">
        <v>58</v>
      </c>
      <c r="D11" s="4" t="s">
        <v>59</v>
      </c>
      <c r="E11" s="3" t="s">
        <v>20</v>
      </c>
      <c r="F11" s="3" t="s">
        <v>21</v>
      </c>
      <c r="G11" s="3" t="s">
        <v>61</v>
      </c>
      <c r="H11" s="4" t="s">
        <v>23</v>
      </c>
      <c r="I11" s="2">
        <v>5.0</v>
      </c>
      <c r="J11" s="2">
        <v>1906.0</v>
      </c>
      <c r="K11" s="3" t="s">
        <v>24</v>
      </c>
      <c r="L11" s="3" t="s">
        <v>25</v>
      </c>
      <c r="M11" s="4" t="s">
        <v>57</v>
      </c>
      <c r="N11" s="2">
        <v>24100.0</v>
      </c>
      <c r="O11" s="2">
        <v>25750.0</v>
      </c>
      <c r="P11" s="5">
        <v>41991.0</v>
      </c>
      <c r="Q11" s="3" t="s">
        <v>27</v>
      </c>
    </row>
    <row r="12" ht="22.5" customHeight="1">
      <c r="A12" s="2">
        <v>2015.0</v>
      </c>
      <c r="B12" s="3" t="s">
        <v>37</v>
      </c>
      <c r="C12" s="3" t="s">
        <v>58</v>
      </c>
      <c r="D12" s="4" t="s">
        <v>59</v>
      </c>
      <c r="E12" s="3" t="s">
        <v>20</v>
      </c>
      <c r="F12" s="3" t="s">
        <v>21</v>
      </c>
      <c r="G12" s="3" t="s">
        <v>62</v>
      </c>
      <c r="H12" s="4" t="s">
        <v>23</v>
      </c>
      <c r="I12" s="2">
        <v>2.0</v>
      </c>
      <c r="J12" s="2">
        <v>31.0</v>
      </c>
      <c r="K12" s="3" t="s">
        <v>32</v>
      </c>
      <c r="L12" s="3" t="s">
        <v>25</v>
      </c>
      <c r="M12" s="4" t="s">
        <v>63</v>
      </c>
      <c r="N12" s="2">
        <v>24200.0</v>
      </c>
      <c r="O12" s="2">
        <v>17300.0</v>
      </c>
      <c r="P12" s="5">
        <v>41996.0</v>
      </c>
      <c r="Q12" s="3" t="s">
        <v>42</v>
      </c>
    </row>
    <row r="13" ht="22.5" customHeight="1">
      <c r="A13" s="2">
        <v>2014.0</v>
      </c>
      <c r="B13" s="3" t="s">
        <v>37</v>
      </c>
      <c r="C13" s="3" t="s">
        <v>64</v>
      </c>
      <c r="D13" s="4" t="s">
        <v>65</v>
      </c>
      <c r="E13" s="3" t="s">
        <v>20</v>
      </c>
      <c r="F13" s="3" t="s">
        <v>21</v>
      </c>
      <c r="G13" s="3" t="s">
        <v>66</v>
      </c>
      <c r="H13" s="4" t="s">
        <v>23</v>
      </c>
      <c r="I13" s="2">
        <v>43.0</v>
      </c>
      <c r="J13" s="2">
        <v>32918.0</v>
      </c>
      <c r="K13" s="3" t="s">
        <v>25</v>
      </c>
      <c r="L13" s="3" t="s">
        <v>25</v>
      </c>
      <c r="M13" s="4" t="s">
        <v>67</v>
      </c>
      <c r="N13" s="2">
        <v>62000.0</v>
      </c>
      <c r="O13" s="2">
        <v>50000.0</v>
      </c>
      <c r="P13" s="5">
        <v>42003.0</v>
      </c>
      <c r="Q13" s="3" t="s">
        <v>42</v>
      </c>
    </row>
    <row r="14" ht="22.5" customHeight="1">
      <c r="A14" s="2">
        <v>2014.0</v>
      </c>
      <c r="B14" s="3" t="s">
        <v>37</v>
      </c>
      <c r="C14" s="3" t="s">
        <v>68</v>
      </c>
      <c r="D14" s="4" t="s">
        <v>69</v>
      </c>
      <c r="E14" s="3" t="s">
        <v>30</v>
      </c>
      <c r="F14" s="3" t="s">
        <v>21</v>
      </c>
      <c r="G14" s="3" t="s">
        <v>70</v>
      </c>
      <c r="H14" s="4" t="s">
        <v>23</v>
      </c>
      <c r="I14" s="2">
        <v>42.0</v>
      </c>
      <c r="J14" s="2">
        <v>9606.0</v>
      </c>
      <c r="K14" s="3" t="s">
        <v>32</v>
      </c>
      <c r="L14" s="3" t="s">
        <v>25</v>
      </c>
      <c r="M14" s="4" t="s">
        <v>71</v>
      </c>
      <c r="N14" s="2">
        <v>48600.0</v>
      </c>
      <c r="O14" s="2">
        <v>47500.0</v>
      </c>
      <c r="P14" s="5">
        <v>42033.0</v>
      </c>
      <c r="Q14" s="3" t="s">
        <v>27</v>
      </c>
    </row>
    <row r="15" ht="22.5" customHeight="1">
      <c r="A15" s="2">
        <v>2014.0</v>
      </c>
      <c r="B15" s="3" t="s">
        <v>72</v>
      </c>
      <c r="C15" s="3" t="s">
        <v>73</v>
      </c>
      <c r="D15" s="4" t="s">
        <v>74</v>
      </c>
      <c r="E15" s="3" t="s">
        <v>20</v>
      </c>
      <c r="F15" s="3" t="s">
        <v>21</v>
      </c>
      <c r="G15" s="3" t="s">
        <v>75</v>
      </c>
      <c r="H15" s="4" t="s">
        <v>23</v>
      </c>
      <c r="I15" s="2">
        <v>29.0</v>
      </c>
      <c r="J15" s="2">
        <v>37752.0</v>
      </c>
      <c r="K15" s="3" t="s">
        <v>32</v>
      </c>
      <c r="L15" s="3" t="s">
        <v>25</v>
      </c>
      <c r="M15" s="4" t="s">
        <v>76</v>
      </c>
      <c r="N15" s="2">
        <v>62000.0</v>
      </c>
      <c r="O15" s="2">
        <v>58000.0</v>
      </c>
      <c r="P15" s="5">
        <v>41989.0</v>
      </c>
      <c r="Q15" s="3" t="s">
        <v>42</v>
      </c>
    </row>
    <row r="16" ht="22.5" customHeight="1">
      <c r="A16" s="2">
        <v>2014.0</v>
      </c>
      <c r="B16" s="3" t="s">
        <v>72</v>
      </c>
      <c r="C16" s="3" t="s">
        <v>77</v>
      </c>
      <c r="D16" s="4" t="s">
        <v>78</v>
      </c>
      <c r="E16" s="3" t="s">
        <v>49</v>
      </c>
      <c r="F16" s="3" t="s">
        <v>21</v>
      </c>
      <c r="G16" s="3" t="s">
        <v>79</v>
      </c>
      <c r="H16" s="4" t="s">
        <v>23</v>
      </c>
      <c r="I16" s="2">
        <v>37.0</v>
      </c>
      <c r="J16" s="2">
        <v>18152.0</v>
      </c>
      <c r="K16" s="3" t="s">
        <v>32</v>
      </c>
      <c r="L16" s="3" t="s">
        <v>25</v>
      </c>
      <c r="M16" s="4" t="s">
        <v>80</v>
      </c>
      <c r="N16" s="2">
        <v>31000.0</v>
      </c>
      <c r="O16" s="2">
        <v>39750.0</v>
      </c>
      <c r="P16" s="5">
        <v>41989.0</v>
      </c>
      <c r="Q16" s="3" t="s">
        <v>42</v>
      </c>
    </row>
    <row r="17" ht="22.5" customHeight="1">
      <c r="A17" s="2">
        <v>2014.0</v>
      </c>
      <c r="B17" s="3" t="s">
        <v>72</v>
      </c>
      <c r="C17" s="3" t="s">
        <v>81</v>
      </c>
      <c r="D17" s="4" t="s">
        <v>34</v>
      </c>
      <c r="E17" s="3" t="s">
        <v>20</v>
      </c>
      <c r="F17" s="3" t="s">
        <v>21</v>
      </c>
      <c r="G17" s="3" t="s">
        <v>82</v>
      </c>
      <c r="H17" s="4" t="s">
        <v>23</v>
      </c>
      <c r="I17" s="2">
        <v>34.0</v>
      </c>
      <c r="J17" s="2">
        <v>14943.0</v>
      </c>
      <c r="K17" s="3" t="s">
        <v>25</v>
      </c>
      <c r="L17" s="3" t="s">
        <v>25</v>
      </c>
      <c r="M17" s="4" t="s">
        <v>83</v>
      </c>
      <c r="N17" s="2">
        <v>69000.0</v>
      </c>
      <c r="O17" s="2">
        <v>65000.0</v>
      </c>
      <c r="P17" s="5">
        <v>41990.0</v>
      </c>
      <c r="Q17" s="3" t="s">
        <v>84</v>
      </c>
    </row>
    <row r="18" ht="22.5" customHeight="1">
      <c r="A18" s="2">
        <v>2014.0</v>
      </c>
      <c r="B18" s="3" t="s">
        <v>72</v>
      </c>
      <c r="C18" s="3" t="s">
        <v>85</v>
      </c>
      <c r="D18" s="4" t="s">
        <v>74</v>
      </c>
      <c r="E18" s="3" t="s">
        <v>86</v>
      </c>
      <c r="F18" s="3" t="s">
        <v>21</v>
      </c>
      <c r="G18" s="3" t="s">
        <v>87</v>
      </c>
      <c r="H18" s="4" t="s">
        <v>23</v>
      </c>
      <c r="I18" s="2">
        <v>34.0</v>
      </c>
      <c r="J18" s="2">
        <v>8819.0</v>
      </c>
      <c r="K18" s="3" t="s">
        <v>25</v>
      </c>
      <c r="L18" s="3" t="s">
        <v>25</v>
      </c>
      <c r="M18" s="4" t="s">
        <v>83</v>
      </c>
      <c r="N18" s="2">
        <v>68000.0</v>
      </c>
      <c r="O18" s="2">
        <v>67200.0</v>
      </c>
      <c r="P18" s="5">
        <v>41990.0</v>
      </c>
      <c r="Q18" s="3" t="s">
        <v>84</v>
      </c>
    </row>
    <row r="19" ht="22.5" customHeight="1">
      <c r="A19" s="2">
        <v>2014.0</v>
      </c>
      <c r="B19" s="3" t="s">
        <v>72</v>
      </c>
      <c r="C19" s="3" t="s">
        <v>73</v>
      </c>
      <c r="D19" s="4" t="s">
        <v>74</v>
      </c>
      <c r="E19" s="3" t="s">
        <v>20</v>
      </c>
      <c r="F19" s="3" t="s">
        <v>21</v>
      </c>
      <c r="G19" s="3" t="s">
        <v>88</v>
      </c>
      <c r="H19" s="4" t="s">
        <v>23</v>
      </c>
      <c r="I19" s="2">
        <v>42.0</v>
      </c>
      <c r="J19" s="2">
        <v>7305.0</v>
      </c>
      <c r="K19" s="3" t="s">
        <v>32</v>
      </c>
      <c r="L19" s="3" t="s">
        <v>25</v>
      </c>
      <c r="M19" s="4" t="s">
        <v>83</v>
      </c>
      <c r="N19" s="2">
        <v>65000.0</v>
      </c>
      <c r="O19" s="2">
        <v>66100.0</v>
      </c>
      <c r="P19" s="5">
        <v>41990.0</v>
      </c>
      <c r="Q19" s="3" t="s">
        <v>84</v>
      </c>
    </row>
    <row r="20" ht="22.5" customHeight="1">
      <c r="A20" s="2">
        <v>2014.0</v>
      </c>
      <c r="B20" s="3" t="s">
        <v>72</v>
      </c>
      <c r="C20" s="3" t="s">
        <v>85</v>
      </c>
      <c r="D20" s="4" t="s">
        <v>74</v>
      </c>
      <c r="E20" s="3" t="s">
        <v>86</v>
      </c>
      <c r="F20" s="3" t="s">
        <v>21</v>
      </c>
      <c r="G20" s="3" t="s">
        <v>89</v>
      </c>
      <c r="H20" s="4" t="s">
        <v>23</v>
      </c>
      <c r="I20" s="2">
        <v>37.0</v>
      </c>
      <c r="J20" s="2">
        <v>8891.0</v>
      </c>
      <c r="K20" s="3" t="s">
        <v>36</v>
      </c>
      <c r="L20" s="3" t="s">
        <v>25</v>
      </c>
      <c r="M20" s="4" t="s">
        <v>83</v>
      </c>
      <c r="N20" s="2">
        <v>68000.0</v>
      </c>
      <c r="O20" s="2">
        <v>67200.0</v>
      </c>
      <c r="P20" s="5">
        <v>41990.0</v>
      </c>
      <c r="Q20" s="3" t="s">
        <v>84</v>
      </c>
    </row>
    <row r="21" ht="22.5" customHeight="1">
      <c r="A21" s="2">
        <v>2014.0</v>
      </c>
      <c r="B21" s="3" t="s">
        <v>72</v>
      </c>
      <c r="C21" s="3" t="s">
        <v>81</v>
      </c>
      <c r="D21" s="4" t="s">
        <v>34</v>
      </c>
      <c r="E21" s="3" t="s">
        <v>20</v>
      </c>
      <c r="F21" s="3" t="s">
        <v>21</v>
      </c>
      <c r="G21" s="3" t="s">
        <v>90</v>
      </c>
      <c r="H21" s="4" t="s">
        <v>23</v>
      </c>
      <c r="I21" s="2">
        <v>47.0</v>
      </c>
      <c r="J21" s="2">
        <v>7766.0</v>
      </c>
      <c r="K21" s="3" t="s">
        <v>24</v>
      </c>
      <c r="L21" s="3" t="s">
        <v>25</v>
      </c>
      <c r="M21" s="4" t="s">
        <v>51</v>
      </c>
      <c r="N21" s="2">
        <v>71000.0</v>
      </c>
      <c r="O21" s="2">
        <v>77250.0</v>
      </c>
      <c r="P21" s="5">
        <v>41991.0</v>
      </c>
      <c r="Q21" s="3" t="s">
        <v>27</v>
      </c>
    </row>
    <row r="22" ht="22.5" customHeight="1">
      <c r="A22" s="2">
        <v>2014.0</v>
      </c>
      <c r="B22" s="3" t="s">
        <v>72</v>
      </c>
      <c r="C22" s="3" t="s">
        <v>73</v>
      </c>
      <c r="D22" s="4" t="s">
        <v>74</v>
      </c>
      <c r="E22" s="3" t="s">
        <v>20</v>
      </c>
      <c r="F22" s="3" t="s">
        <v>21</v>
      </c>
      <c r="G22" s="3" t="s">
        <v>91</v>
      </c>
      <c r="H22" s="4" t="s">
        <v>23</v>
      </c>
      <c r="I22" s="2">
        <v>43.0</v>
      </c>
      <c r="J22" s="2">
        <v>2641.0</v>
      </c>
      <c r="K22" s="3" t="s">
        <v>24</v>
      </c>
      <c r="L22" s="3" t="s">
        <v>25</v>
      </c>
      <c r="M22" s="4" t="s">
        <v>76</v>
      </c>
      <c r="N22" s="2">
        <v>66000.0</v>
      </c>
      <c r="O22" s="2">
        <v>67000.0</v>
      </c>
      <c r="P22" s="5">
        <v>41991.0</v>
      </c>
      <c r="Q22" s="3" t="s">
        <v>27</v>
      </c>
    </row>
    <row r="23" ht="22.5" customHeight="1">
      <c r="A23" s="2">
        <v>2014.0</v>
      </c>
      <c r="B23" s="3" t="s">
        <v>72</v>
      </c>
      <c r="C23" s="3" t="s">
        <v>92</v>
      </c>
      <c r="D23" s="4" t="s">
        <v>93</v>
      </c>
      <c r="E23" s="3" t="s">
        <v>30</v>
      </c>
      <c r="F23" s="3" t="s">
        <v>21</v>
      </c>
      <c r="G23" s="3" t="s">
        <v>94</v>
      </c>
      <c r="H23" s="4" t="s">
        <v>23</v>
      </c>
      <c r="I23" s="2">
        <v>4.0</v>
      </c>
      <c r="J23" s="2">
        <v>379.0</v>
      </c>
      <c r="K23" s="3" t="s">
        <v>32</v>
      </c>
      <c r="L23" s="3" t="s">
        <v>25</v>
      </c>
      <c r="M23" s="4" t="s">
        <v>76</v>
      </c>
      <c r="N23" s="2">
        <v>54800.0</v>
      </c>
      <c r="O23" s="2">
        <v>51700.0</v>
      </c>
      <c r="P23" s="5">
        <v>41991.0</v>
      </c>
      <c r="Q23" s="3" t="s">
        <v>27</v>
      </c>
    </row>
    <row r="24" ht="22.5" customHeight="1">
      <c r="A24" s="2">
        <v>2014.0</v>
      </c>
      <c r="B24" s="3" t="s">
        <v>72</v>
      </c>
      <c r="C24" s="3" t="s">
        <v>95</v>
      </c>
      <c r="D24" s="4" t="s">
        <v>96</v>
      </c>
      <c r="E24" s="3" t="s">
        <v>30</v>
      </c>
      <c r="F24" s="3" t="s">
        <v>21</v>
      </c>
      <c r="G24" s="3" t="s">
        <v>97</v>
      </c>
      <c r="H24" s="4" t="s">
        <v>23</v>
      </c>
      <c r="I24" s="2">
        <v>48.0</v>
      </c>
      <c r="J24" s="2">
        <v>19689.0</v>
      </c>
      <c r="K24" s="3" t="s">
        <v>32</v>
      </c>
      <c r="L24" s="3" t="s">
        <v>25</v>
      </c>
      <c r="M24" s="4" t="s">
        <v>76</v>
      </c>
      <c r="N24" s="2">
        <v>23700.0</v>
      </c>
      <c r="O24" s="2">
        <v>26500.0</v>
      </c>
      <c r="P24" s="5">
        <v>41991.0</v>
      </c>
      <c r="Q24" s="3" t="s">
        <v>27</v>
      </c>
    </row>
    <row r="25" ht="22.5" customHeight="1">
      <c r="A25" s="2">
        <v>2014.0</v>
      </c>
      <c r="B25" s="3" t="s">
        <v>72</v>
      </c>
      <c r="C25" s="3" t="s">
        <v>81</v>
      </c>
      <c r="D25" s="4" t="s">
        <v>34</v>
      </c>
      <c r="E25" s="3" t="s">
        <v>20</v>
      </c>
      <c r="F25" s="3" t="s">
        <v>21</v>
      </c>
      <c r="G25" s="3" t="s">
        <v>98</v>
      </c>
      <c r="H25" s="4" t="s">
        <v>23</v>
      </c>
      <c r="I25" s="2">
        <v>38.0</v>
      </c>
      <c r="J25" s="2">
        <v>13386.0</v>
      </c>
      <c r="K25" s="3" t="s">
        <v>32</v>
      </c>
      <c r="L25" s="3" t="s">
        <v>25</v>
      </c>
      <c r="M25" s="4" t="s">
        <v>83</v>
      </c>
      <c r="N25" s="2">
        <v>67000.0</v>
      </c>
      <c r="O25" s="2">
        <v>65000.0</v>
      </c>
      <c r="P25" s="5">
        <v>41991.0</v>
      </c>
      <c r="Q25" s="3" t="s">
        <v>27</v>
      </c>
    </row>
    <row r="26" ht="22.5" customHeight="1">
      <c r="A26" s="2">
        <v>2014.0</v>
      </c>
      <c r="B26" s="3" t="s">
        <v>72</v>
      </c>
      <c r="C26" s="3" t="s">
        <v>85</v>
      </c>
      <c r="D26" s="4" t="s">
        <v>74</v>
      </c>
      <c r="E26" s="3" t="s">
        <v>86</v>
      </c>
      <c r="F26" s="3" t="s">
        <v>21</v>
      </c>
      <c r="G26" s="3" t="s">
        <v>99</v>
      </c>
      <c r="H26" s="4" t="s">
        <v>23</v>
      </c>
      <c r="I26" s="2">
        <v>37.0</v>
      </c>
      <c r="J26" s="2">
        <v>15727.0</v>
      </c>
      <c r="K26" s="3" t="s">
        <v>32</v>
      </c>
      <c r="L26" s="3" t="s">
        <v>25</v>
      </c>
      <c r="M26" s="4" t="s">
        <v>83</v>
      </c>
      <c r="N26" s="2">
        <v>66000.0</v>
      </c>
      <c r="O26" s="2">
        <v>65000.0</v>
      </c>
      <c r="P26" s="5">
        <v>41991.0</v>
      </c>
      <c r="Q26" s="3" t="s">
        <v>27</v>
      </c>
    </row>
    <row r="27" ht="22.5" customHeight="1">
      <c r="A27" s="2">
        <v>2014.0</v>
      </c>
      <c r="B27" s="3" t="s">
        <v>72</v>
      </c>
      <c r="C27" s="3" t="s">
        <v>100</v>
      </c>
      <c r="D27" s="4" t="s">
        <v>93</v>
      </c>
      <c r="E27" s="3" t="s">
        <v>30</v>
      </c>
      <c r="F27" s="3" t="s">
        <v>21</v>
      </c>
      <c r="G27" s="3" t="s">
        <v>101</v>
      </c>
      <c r="H27" s="4" t="s">
        <v>23</v>
      </c>
      <c r="I27" s="2">
        <v>5.0</v>
      </c>
      <c r="J27" s="2">
        <v>4503.0</v>
      </c>
      <c r="K27" s="3" t="s">
        <v>32</v>
      </c>
      <c r="L27" s="3" t="s">
        <v>25</v>
      </c>
      <c r="M27" s="4" t="s">
        <v>76</v>
      </c>
      <c r="N27" s="2">
        <v>57500.0</v>
      </c>
      <c r="O27" s="2">
        <v>57250.0</v>
      </c>
      <c r="P27" s="5">
        <v>41991.0</v>
      </c>
      <c r="Q27" s="3" t="s">
        <v>27</v>
      </c>
    </row>
    <row r="28" ht="22.5" customHeight="1">
      <c r="A28" s="2">
        <v>2014.0</v>
      </c>
      <c r="B28" s="3" t="s">
        <v>72</v>
      </c>
      <c r="C28" s="3" t="s">
        <v>81</v>
      </c>
      <c r="D28" s="4" t="s">
        <v>34</v>
      </c>
      <c r="E28" s="3" t="s">
        <v>20</v>
      </c>
      <c r="F28" s="3" t="s">
        <v>21</v>
      </c>
      <c r="G28" s="3" t="s">
        <v>102</v>
      </c>
      <c r="H28" s="4" t="s">
        <v>23</v>
      </c>
      <c r="I28" s="2">
        <v>41.0</v>
      </c>
      <c r="J28" s="2">
        <v>15161.0</v>
      </c>
      <c r="K28" s="3" t="s">
        <v>32</v>
      </c>
      <c r="L28" s="3" t="s">
        <v>25</v>
      </c>
      <c r="M28" s="4" t="s">
        <v>83</v>
      </c>
      <c r="N28" s="2">
        <v>66000.0</v>
      </c>
      <c r="O28" s="2">
        <v>65801.0</v>
      </c>
      <c r="P28" s="5">
        <v>41996.0</v>
      </c>
      <c r="Q28" s="3" t="s">
        <v>42</v>
      </c>
    </row>
    <row r="29" ht="22.5" customHeight="1">
      <c r="A29" s="2">
        <v>2014.0</v>
      </c>
      <c r="B29" s="3" t="s">
        <v>72</v>
      </c>
      <c r="C29" s="3" t="s">
        <v>85</v>
      </c>
      <c r="D29" s="4" t="s">
        <v>74</v>
      </c>
      <c r="E29" s="3" t="s">
        <v>86</v>
      </c>
      <c r="F29" s="3" t="s">
        <v>21</v>
      </c>
      <c r="G29" s="3" t="s">
        <v>103</v>
      </c>
      <c r="H29" s="4" t="s">
        <v>23</v>
      </c>
      <c r="I29" s="2">
        <v>32.0</v>
      </c>
      <c r="J29" s="2">
        <v>13205.0</v>
      </c>
      <c r="K29" s="3" t="s">
        <v>32</v>
      </c>
      <c r="L29" s="3" t="s">
        <v>25</v>
      </c>
      <c r="M29" s="4" t="s">
        <v>83</v>
      </c>
      <c r="N29" s="2">
        <v>66000.0</v>
      </c>
      <c r="O29" s="2">
        <v>65000.0</v>
      </c>
      <c r="P29" s="5">
        <v>42010.0</v>
      </c>
      <c r="Q29" s="3" t="s">
        <v>42</v>
      </c>
    </row>
    <row r="30" ht="22.5" customHeight="1">
      <c r="A30" s="2">
        <v>2014.0</v>
      </c>
      <c r="B30" s="3" t="s">
        <v>72</v>
      </c>
      <c r="C30" s="3" t="s">
        <v>85</v>
      </c>
      <c r="D30" s="4" t="s">
        <v>74</v>
      </c>
      <c r="E30" s="3" t="s">
        <v>86</v>
      </c>
      <c r="F30" s="3" t="s">
        <v>21</v>
      </c>
      <c r="G30" s="3" t="s">
        <v>104</v>
      </c>
      <c r="H30" s="4" t="s">
        <v>23</v>
      </c>
      <c r="I30" s="2">
        <v>38.0</v>
      </c>
      <c r="J30" s="2">
        <v>10736.0</v>
      </c>
      <c r="K30" s="3" t="s">
        <v>25</v>
      </c>
      <c r="L30" s="3" t="s">
        <v>25</v>
      </c>
      <c r="M30" s="4" t="s">
        <v>83</v>
      </c>
      <c r="N30" s="2">
        <v>67000.0</v>
      </c>
      <c r="O30" s="2">
        <v>65000.0</v>
      </c>
      <c r="P30" s="5">
        <v>42010.0</v>
      </c>
      <c r="Q30" s="3" t="s">
        <v>42</v>
      </c>
    </row>
    <row r="31" ht="22.5" customHeight="1">
      <c r="A31" s="2">
        <v>2014.0</v>
      </c>
      <c r="B31" s="3" t="s">
        <v>72</v>
      </c>
      <c r="C31" s="3" t="s">
        <v>85</v>
      </c>
      <c r="D31" s="4" t="s">
        <v>74</v>
      </c>
      <c r="E31" s="3" t="s">
        <v>86</v>
      </c>
      <c r="F31" s="3" t="s">
        <v>21</v>
      </c>
      <c r="G31" s="3" t="s">
        <v>105</v>
      </c>
      <c r="H31" s="4" t="s">
        <v>23</v>
      </c>
      <c r="I31" s="2">
        <v>4.0</v>
      </c>
      <c r="J31" s="2">
        <v>8037.0</v>
      </c>
      <c r="K31" s="3" t="s">
        <v>25</v>
      </c>
      <c r="L31" s="3" t="s">
        <v>25</v>
      </c>
      <c r="M31" s="4" t="s">
        <v>83</v>
      </c>
      <c r="N31" s="2">
        <v>67000.0</v>
      </c>
      <c r="O31" s="2">
        <v>65000.0</v>
      </c>
      <c r="P31" s="5">
        <v>42010.0</v>
      </c>
      <c r="Q31" s="3" t="s">
        <v>42</v>
      </c>
    </row>
    <row r="32" ht="22.5" customHeight="1">
      <c r="A32" s="2">
        <v>2014.0</v>
      </c>
      <c r="B32" s="3" t="s">
        <v>72</v>
      </c>
      <c r="C32" s="3" t="s">
        <v>81</v>
      </c>
      <c r="D32" s="4" t="s">
        <v>34</v>
      </c>
      <c r="E32" s="3" t="s">
        <v>20</v>
      </c>
      <c r="F32" s="3" t="s">
        <v>21</v>
      </c>
      <c r="G32" s="3" t="s">
        <v>106</v>
      </c>
      <c r="H32" s="4" t="s">
        <v>23</v>
      </c>
      <c r="I32" s="2">
        <v>38.0</v>
      </c>
      <c r="J32" s="2">
        <v>16360.0</v>
      </c>
      <c r="K32" s="3" t="s">
        <v>25</v>
      </c>
      <c r="L32" s="3" t="s">
        <v>25</v>
      </c>
      <c r="M32" s="4" t="s">
        <v>83</v>
      </c>
      <c r="N32" s="2">
        <v>65000.0</v>
      </c>
      <c r="O32" s="2">
        <v>64250.0</v>
      </c>
      <c r="P32" s="5">
        <v>42017.0</v>
      </c>
      <c r="Q32" s="3" t="s">
        <v>42</v>
      </c>
    </row>
    <row r="33" ht="22.5" customHeight="1">
      <c r="A33" s="2">
        <v>2014.0</v>
      </c>
      <c r="B33" s="3" t="s">
        <v>72</v>
      </c>
      <c r="C33" s="3" t="s">
        <v>107</v>
      </c>
      <c r="D33" s="4" t="s">
        <v>108</v>
      </c>
      <c r="E33" s="3" t="s">
        <v>20</v>
      </c>
      <c r="F33" s="3" t="s">
        <v>21</v>
      </c>
      <c r="G33" s="3" t="s">
        <v>109</v>
      </c>
      <c r="H33" s="4" t="s">
        <v>23</v>
      </c>
      <c r="I33" s="2">
        <v>45.0</v>
      </c>
      <c r="J33" s="2">
        <v>1331.0</v>
      </c>
      <c r="K33" s="3" t="s">
        <v>24</v>
      </c>
      <c r="L33" s="3" t="s">
        <v>25</v>
      </c>
      <c r="M33" s="4" t="s">
        <v>76</v>
      </c>
      <c r="N33" s="2">
        <v>31900.0</v>
      </c>
      <c r="O33" s="2">
        <v>30000.0</v>
      </c>
      <c r="P33" s="5">
        <v>42019.0</v>
      </c>
      <c r="Q33" s="3" t="s">
        <v>27</v>
      </c>
    </row>
    <row r="34" ht="22.5" customHeight="1">
      <c r="A34" s="2">
        <v>2014.0</v>
      </c>
      <c r="B34" s="3" t="s">
        <v>72</v>
      </c>
      <c r="C34" s="3" t="s">
        <v>107</v>
      </c>
      <c r="D34" s="4" t="s">
        <v>108</v>
      </c>
      <c r="E34" s="3" t="s">
        <v>20</v>
      </c>
      <c r="F34" s="3" t="s">
        <v>21</v>
      </c>
      <c r="G34" s="3" t="s">
        <v>110</v>
      </c>
      <c r="H34" s="4" t="s">
        <v>23</v>
      </c>
      <c r="I34" s="2">
        <v>45.0</v>
      </c>
      <c r="J34" s="2">
        <v>9027.0</v>
      </c>
      <c r="K34" s="3" t="s">
        <v>32</v>
      </c>
      <c r="L34" s="3" t="s">
        <v>25</v>
      </c>
      <c r="M34" s="4" t="s">
        <v>76</v>
      </c>
      <c r="N34" s="2">
        <v>30200.0</v>
      </c>
      <c r="O34" s="2">
        <v>27500.0</v>
      </c>
      <c r="P34" s="5">
        <v>42019.0</v>
      </c>
      <c r="Q34" s="3" t="s">
        <v>27</v>
      </c>
    </row>
    <row r="35" ht="22.5" customHeight="1">
      <c r="A35" s="2">
        <v>2014.0</v>
      </c>
      <c r="B35" s="3" t="s">
        <v>72</v>
      </c>
      <c r="C35" s="3" t="s">
        <v>111</v>
      </c>
      <c r="D35" s="4" t="s">
        <v>112</v>
      </c>
      <c r="E35" s="3" t="s">
        <v>20</v>
      </c>
      <c r="F35" s="3" t="s">
        <v>21</v>
      </c>
      <c r="G35" s="3" t="s">
        <v>113</v>
      </c>
      <c r="H35" s="4" t="s">
        <v>23</v>
      </c>
      <c r="I35" s="2">
        <v>48.0</v>
      </c>
      <c r="J35" s="2">
        <v>12292.0</v>
      </c>
      <c r="K35" s="3" t="s">
        <v>32</v>
      </c>
      <c r="L35" s="3" t="s">
        <v>25</v>
      </c>
      <c r="M35" s="4" t="s">
        <v>76</v>
      </c>
      <c r="N35" s="2">
        <v>46300.0</v>
      </c>
      <c r="O35" s="2">
        <v>46500.0</v>
      </c>
      <c r="P35" s="5">
        <v>42019.0</v>
      </c>
      <c r="Q35" s="3" t="s">
        <v>27</v>
      </c>
    </row>
    <row r="36" ht="22.5" customHeight="1">
      <c r="A36" s="2">
        <v>2014.0</v>
      </c>
      <c r="B36" s="3" t="s">
        <v>72</v>
      </c>
      <c r="C36" s="3" t="s">
        <v>111</v>
      </c>
      <c r="D36" s="4" t="s">
        <v>114</v>
      </c>
      <c r="E36" s="3" t="s">
        <v>20</v>
      </c>
      <c r="F36" s="3" t="s">
        <v>21</v>
      </c>
      <c r="G36" s="3" t="s">
        <v>115</v>
      </c>
      <c r="H36" s="4" t="s">
        <v>23</v>
      </c>
      <c r="I36" s="2">
        <v>29.0</v>
      </c>
      <c r="J36" s="2">
        <v>25969.0</v>
      </c>
      <c r="K36" s="3" t="s">
        <v>25</v>
      </c>
      <c r="L36" s="3" t="s">
        <v>25</v>
      </c>
      <c r="M36" s="4" t="s">
        <v>76</v>
      </c>
      <c r="N36" s="2">
        <v>34200.0</v>
      </c>
      <c r="O36" s="2">
        <v>30000.0</v>
      </c>
      <c r="P36" s="5">
        <v>42038.0</v>
      </c>
      <c r="Q36" s="3" t="s">
        <v>42</v>
      </c>
    </row>
    <row r="37" ht="22.5" customHeight="1">
      <c r="A37" s="2">
        <v>2014.0</v>
      </c>
      <c r="B37" s="3" t="s">
        <v>116</v>
      </c>
      <c r="C37" s="3" t="s">
        <v>117</v>
      </c>
      <c r="D37" s="4" t="s">
        <v>118</v>
      </c>
      <c r="E37" s="3" t="s">
        <v>30</v>
      </c>
      <c r="F37" s="3" t="s">
        <v>21</v>
      </c>
      <c r="G37" s="3" t="s">
        <v>119</v>
      </c>
      <c r="H37" s="4" t="s">
        <v>23</v>
      </c>
      <c r="I37" s="2">
        <v>1.0</v>
      </c>
      <c r="J37" s="2">
        <v>14599.0</v>
      </c>
      <c r="K37" s="3" t="s">
        <v>24</v>
      </c>
      <c r="L37" s="3" t="s">
        <v>25</v>
      </c>
      <c r="M37" s="4" t="s">
        <v>63</v>
      </c>
      <c r="N37" s="2">
        <v>31000.0</v>
      </c>
      <c r="O37" s="2">
        <v>24100.0</v>
      </c>
      <c r="P37" s="5">
        <v>42003.0</v>
      </c>
      <c r="Q37" s="3" t="s">
        <v>42</v>
      </c>
    </row>
    <row r="38" ht="22.5" customHeight="1">
      <c r="A38" s="2">
        <v>2014.0</v>
      </c>
      <c r="B38" s="3" t="s">
        <v>120</v>
      </c>
      <c r="C38" s="3" t="s">
        <v>121</v>
      </c>
      <c r="D38" s="4" t="s">
        <v>122</v>
      </c>
      <c r="E38" s="3" t="s">
        <v>30</v>
      </c>
      <c r="F38" s="3" t="s">
        <v>21</v>
      </c>
      <c r="G38" s="3" t="s">
        <v>123</v>
      </c>
      <c r="H38" s="4" t="s">
        <v>23</v>
      </c>
      <c r="I38" s="2">
        <v>44.0</v>
      </c>
      <c r="J38" s="2">
        <v>8683.0</v>
      </c>
      <c r="K38" s="3" t="s">
        <v>32</v>
      </c>
      <c r="L38" s="3" t="s">
        <v>25</v>
      </c>
      <c r="M38" s="4" t="s">
        <v>124</v>
      </c>
      <c r="N38" s="2">
        <v>33500.0</v>
      </c>
      <c r="O38" s="2">
        <v>30000.0</v>
      </c>
      <c r="P38" s="5">
        <v>41996.0</v>
      </c>
      <c r="Q38" s="3" t="s">
        <v>42</v>
      </c>
    </row>
    <row r="39" ht="22.5" customHeight="1">
      <c r="A39" s="2">
        <v>2014.0</v>
      </c>
      <c r="B39" s="3" t="s">
        <v>120</v>
      </c>
      <c r="C39" s="3" t="s">
        <v>125</v>
      </c>
      <c r="D39" s="4" t="s">
        <v>34</v>
      </c>
      <c r="E39" s="3" t="s">
        <v>49</v>
      </c>
      <c r="F39" s="3" t="s">
        <v>21</v>
      </c>
      <c r="G39" s="3" t="s">
        <v>126</v>
      </c>
      <c r="H39" s="4" t="s">
        <v>23</v>
      </c>
      <c r="I39" s="2">
        <v>47.0</v>
      </c>
      <c r="J39" s="2">
        <v>4436.0</v>
      </c>
      <c r="K39" s="3" t="s">
        <v>24</v>
      </c>
      <c r="L39" s="3" t="s">
        <v>25</v>
      </c>
      <c r="M39" s="4" t="s">
        <v>127</v>
      </c>
      <c r="N39" s="2">
        <v>49400.0</v>
      </c>
      <c r="O39" s="2">
        <v>44000.0</v>
      </c>
      <c r="P39" s="5">
        <v>42039.0</v>
      </c>
      <c r="Q39" s="3" t="s">
        <v>84</v>
      </c>
    </row>
    <row r="40" ht="22.5" customHeight="1">
      <c r="A40" s="2">
        <v>2014.0</v>
      </c>
      <c r="B40" s="3" t="s">
        <v>128</v>
      </c>
      <c r="C40" s="3" t="s">
        <v>129</v>
      </c>
      <c r="D40" s="4" t="s">
        <v>130</v>
      </c>
      <c r="E40" s="3" t="s">
        <v>49</v>
      </c>
      <c r="F40" s="3" t="s">
        <v>131</v>
      </c>
      <c r="G40" s="3" t="s">
        <v>132</v>
      </c>
      <c r="H40" s="4" t="s">
        <v>23</v>
      </c>
      <c r="I40" s="2">
        <v>44.0</v>
      </c>
      <c r="J40" s="2">
        <v>7924.0</v>
      </c>
      <c r="K40" s="3" t="s">
        <v>32</v>
      </c>
      <c r="L40" s="3" t="s">
        <v>25</v>
      </c>
      <c r="M40" s="4" t="s">
        <v>133</v>
      </c>
      <c r="N40" s="2">
        <v>17850.0</v>
      </c>
      <c r="O40" s="2">
        <v>18500.0</v>
      </c>
      <c r="P40" s="5">
        <v>41989.0</v>
      </c>
      <c r="Q40" s="3" t="s">
        <v>42</v>
      </c>
    </row>
    <row r="41" ht="22.5" customHeight="1">
      <c r="A41" s="2">
        <v>2014.0</v>
      </c>
      <c r="B41" s="3" t="s">
        <v>128</v>
      </c>
      <c r="C41" s="3" t="s">
        <v>134</v>
      </c>
      <c r="D41" s="4" t="s">
        <v>135</v>
      </c>
      <c r="E41" s="3" t="s">
        <v>20</v>
      </c>
      <c r="F41" s="3" t="s">
        <v>21</v>
      </c>
      <c r="G41" s="3" t="s">
        <v>136</v>
      </c>
      <c r="H41" s="4" t="s">
        <v>23</v>
      </c>
      <c r="I41" s="2">
        <v>2.0</v>
      </c>
      <c r="J41" s="2">
        <v>28617.0</v>
      </c>
      <c r="K41" s="3" t="s">
        <v>25</v>
      </c>
      <c r="L41" s="3" t="s">
        <v>25</v>
      </c>
      <c r="M41" s="4" t="s">
        <v>63</v>
      </c>
      <c r="N41" s="2">
        <v>11900.0</v>
      </c>
      <c r="O41" s="2">
        <v>9800.0</v>
      </c>
      <c r="P41" s="5">
        <v>41989.0</v>
      </c>
      <c r="Q41" s="3" t="s">
        <v>42</v>
      </c>
    </row>
    <row r="42" ht="22.5" customHeight="1">
      <c r="A42" s="2">
        <v>2014.0</v>
      </c>
      <c r="B42" s="3" t="s">
        <v>128</v>
      </c>
      <c r="C42" s="3" t="s">
        <v>129</v>
      </c>
      <c r="D42" s="4" t="s">
        <v>137</v>
      </c>
      <c r="E42" s="3" t="s">
        <v>49</v>
      </c>
      <c r="F42" s="3" t="s">
        <v>21</v>
      </c>
      <c r="G42" s="3" t="s">
        <v>138</v>
      </c>
      <c r="H42" s="4" t="s">
        <v>23</v>
      </c>
      <c r="I42" s="2">
        <v>1.0</v>
      </c>
      <c r="J42" s="2">
        <v>20595.0</v>
      </c>
      <c r="K42" s="3" t="s">
        <v>139</v>
      </c>
      <c r="L42" s="3" t="s">
        <v>24</v>
      </c>
      <c r="M42" s="4" t="s">
        <v>63</v>
      </c>
      <c r="N42" s="2">
        <v>20800.0</v>
      </c>
      <c r="O42" s="2">
        <v>13600.0</v>
      </c>
      <c r="P42" s="5">
        <v>41989.0</v>
      </c>
      <c r="Q42" s="3" t="s">
        <v>42</v>
      </c>
    </row>
    <row r="43" ht="22.5" customHeight="1">
      <c r="A43" s="2">
        <v>2014.0</v>
      </c>
      <c r="B43" s="3" t="s">
        <v>128</v>
      </c>
      <c r="C43" s="3" t="s">
        <v>134</v>
      </c>
      <c r="D43" s="4" t="s">
        <v>140</v>
      </c>
      <c r="E43" s="3" t="s">
        <v>20</v>
      </c>
      <c r="F43" s="3" t="s">
        <v>21</v>
      </c>
      <c r="G43" s="3" t="s">
        <v>141</v>
      </c>
      <c r="H43" s="4" t="s">
        <v>23</v>
      </c>
      <c r="I43" s="2">
        <v>1.0</v>
      </c>
      <c r="J43" s="2">
        <v>10673.0</v>
      </c>
      <c r="K43" s="3" t="s">
        <v>139</v>
      </c>
      <c r="L43" s="3" t="s">
        <v>25</v>
      </c>
      <c r="M43" s="4" t="s">
        <v>63</v>
      </c>
      <c r="N43" s="2">
        <v>14150.0</v>
      </c>
      <c r="O43" s="2">
        <v>3300.0</v>
      </c>
      <c r="P43" s="5">
        <v>41989.0</v>
      </c>
      <c r="Q43" s="3" t="s">
        <v>42</v>
      </c>
    </row>
    <row r="44" ht="22.5" customHeight="1">
      <c r="A44" s="2">
        <v>2014.0</v>
      </c>
      <c r="B44" s="3" t="s">
        <v>128</v>
      </c>
      <c r="C44" s="3" t="s">
        <v>134</v>
      </c>
      <c r="D44" s="4" t="s">
        <v>140</v>
      </c>
      <c r="E44" s="3" t="s">
        <v>20</v>
      </c>
      <c r="F44" s="3" t="s">
        <v>21</v>
      </c>
      <c r="G44" s="3" t="s">
        <v>142</v>
      </c>
      <c r="H44" s="4" t="s">
        <v>23</v>
      </c>
      <c r="I44" s="2">
        <v>41.0</v>
      </c>
      <c r="J44" s="2">
        <v>37938.0</v>
      </c>
      <c r="K44" s="3" t="s">
        <v>25</v>
      </c>
      <c r="L44" s="3" t="s">
        <v>25</v>
      </c>
      <c r="M44" s="4" t="s">
        <v>143</v>
      </c>
      <c r="N44" s="2">
        <v>12950.0</v>
      </c>
      <c r="O44" s="2">
        <v>13700.0</v>
      </c>
      <c r="P44" s="5">
        <v>41990.0</v>
      </c>
      <c r="Q44" s="3" t="s">
        <v>84</v>
      </c>
    </row>
    <row r="45" ht="22.5" customHeight="1">
      <c r="A45" s="2">
        <v>2014.0</v>
      </c>
      <c r="B45" s="3" t="s">
        <v>128</v>
      </c>
      <c r="C45" s="3" t="s">
        <v>144</v>
      </c>
      <c r="D45" s="4" t="s">
        <v>137</v>
      </c>
      <c r="E45" s="3" t="s">
        <v>145</v>
      </c>
      <c r="F45" s="3" t="s">
        <v>21</v>
      </c>
      <c r="G45" s="3" t="s">
        <v>146</v>
      </c>
      <c r="H45" s="4" t="s">
        <v>23</v>
      </c>
      <c r="I45" s="2">
        <v>37.0</v>
      </c>
      <c r="J45" s="2">
        <v>6726.0</v>
      </c>
      <c r="K45" s="3" t="s">
        <v>25</v>
      </c>
      <c r="L45" s="3" t="s">
        <v>25</v>
      </c>
      <c r="M45" s="4" t="s">
        <v>147</v>
      </c>
      <c r="N45" s="2">
        <v>26900.0</v>
      </c>
      <c r="O45" s="2">
        <v>30250.0</v>
      </c>
      <c r="P45" s="5">
        <v>41990.0</v>
      </c>
      <c r="Q45" s="3" t="s">
        <v>84</v>
      </c>
    </row>
    <row r="46" ht="22.5" customHeight="1">
      <c r="A46" s="2">
        <v>2014.0</v>
      </c>
      <c r="B46" s="3" t="s">
        <v>128</v>
      </c>
      <c r="C46" s="3" t="s">
        <v>134</v>
      </c>
      <c r="D46" s="4" t="s">
        <v>140</v>
      </c>
      <c r="E46" s="3" t="s">
        <v>20</v>
      </c>
      <c r="F46" s="3" t="s">
        <v>21</v>
      </c>
      <c r="G46" s="3" t="s">
        <v>148</v>
      </c>
      <c r="H46" s="4" t="s">
        <v>23</v>
      </c>
      <c r="I46" s="2">
        <v>37.0</v>
      </c>
      <c r="J46" s="2">
        <v>36771.0</v>
      </c>
      <c r="K46" s="3" t="s">
        <v>36</v>
      </c>
      <c r="L46" s="3" t="s">
        <v>25</v>
      </c>
      <c r="M46" s="4" t="s">
        <v>143</v>
      </c>
      <c r="N46" s="2">
        <v>13000.0</v>
      </c>
      <c r="O46" s="2">
        <v>13600.0</v>
      </c>
      <c r="P46" s="5">
        <v>41990.0</v>
      </c>
      <c r="Q46" s="3" t="s">
        <v>84</v>
      </c>
    </row>
    <row r="47" ht="22.5" customHeight="1">
      <c r="A47" s="2">
        <v>2014.0</v>
      </c>
      <c r="B47" s="3" t="s">
        <v>128</v>
      </c>
      <c r="C47" s="3" t="s">
        <v>129</v>
      </c>
      <c r="D47" s="4" t="s">
        <v>137</v>
      </c>
      <c r="E47" s="3" t="s">
        <v>49</v>
      </c>
      <c r="F47" s="3" t="s">
        <v>21</v>
      </c>
      <c r="G47" s="3" t="s">
        <v>149</v>
      </c>
      <c r="H47" s="4" t="s">
        <v>23</v>
      </c>
      <c r="I47" s="2">
        <v>42.0</v>
      </c>
      <c r="J47" s="2">
        <v>11874.0</v>
      </c>
      <c r="K47" s="3" t="s">
        <v>24</v>
      </c>
      <c r="L47" s="3" t="s">
        <v>25</v>
      </c>
      <c r="M47" s="4" t="s">
        <v>150</v>
      </c>
      <c r="N47" s="2">
        <v>22200.0</v>
      </c>
      <c r="O47" s="2">
        <v>19500.0</v>
      </c>
      <c r="P47" s="5">
        <v>41991.0</v>
      </c>
      <c r="Q47" s="3" t="s">
        <v>27</v>
      </c>
    </row>
    <row r="48" ht="22.5" customHeight="1">
      <c r="A48" s="2">
        <v>2015.0</v>
      </c>
      <c r="B48" s="3" t="s">
        <v>128</v>
      </c>
      <c r="C48" s="3" t="s">
        <v>151</v>
      </c>
      <c r="D48" s="4" t="s">
        <v>152</v>
      </c>
      <c r="E48" s="3" t="s">
        <v>30</v>
      </c>
      <c r="F48" s="3" t="s">
        <v>21</v>
      </c>
      <c r="G48" s="3" t="s">
        <v>153</v>
      </c>
      <c r="H48" s="4" t="s">
        <v>23</v>
      </c>
      <c r="I48" s="2">
        <v>45.0</v>
      </c>
      <c r="J48" s="2">
        <v>11426.0</v>
      </c>
      <c r="K48" s="3" t="s">
        <v>25</v>
      </c>
      <c r="L48" s="3" t="s">
        <v>25</v>
      </c>
      <c r="M48" s="4" t="s">
        <v>150</v>
      </c>
      <c r="N48" s="2">
        <v>57300.0</v>
      </c>
      <c r="O48" s="2">
        <v>59900.0</v>
      </c>
      <c r="P48" s="5">
        <v>41991.0</v>
      </c>
      <c r="Q48" s="3" t="s">
        <v>27</v>
      </c>
    </row>
    <row r="49" ht="22.5" customHeight="1">
      <c r="A49" s="2">
        <v>2014.0</v>
      </c>
      <c r="B49" s="3" t="s">
        <v>128</v>
      </c>
      <c r="C49" s="3" t="s">
        <v>129</v>
      </c>
      <c r="D49" s="4" t="s">
        <v>137</v>
      </c>
      <c r="E49" s="3" t="s">
        <v>49</v>
      </c>
      <c r="F49" s="3" t="s">
        <v>21</v>
      </c>
      <c r="G49" s="3" t="s">
        <v>154</v>
      </c>
      <c r="H49" s="4" t="s">
        <v>23</v>
      </c>
      <c r="I49" s="2">
        <v>31.0</v>
      </c>
      <c r="J49" s="2">
        <v>9914.0</v>
      </c>
      <c r="K49" s="3" t="s">
        <v>25</v>
      </c>
      <c r="L49" s="3" t="s">
        <v>25</v>
      </c>
      <c r="M49" s="4" t="s">
        <v>150</v>
      </c>
      <c r="N49" s="2">
        <v>22500.0</v>
      </c>
      <c r="O49" s="2">
        <v>20600.0</v>
      </c>
      <c r="P49" s="5">
        <v>41991.0</v>
      </c>
      <c r="Q49" s="3" t="s">
        <v>27</v>
      </c>
    </row>
    <row r="50" ht="22.5" customHeight="1">
      <c r="A50" s="2">
        <v>2014.0</v>
      </c>
      <c r="B50" s="3" t="s">
        <v>128</v>
      </c>
      <c r="C50" s="3" t="s">
        <v>129</v>
      </c>
      <c r="D50" s="4" t="s">
        <v>137</v>
      </c>
      <c r="E50" s="3" t="s">
        <v>49</v>
      </c>
      <c r="F50" s="3" t="s">
        <v>21</v>
      </c>
      <c r="G50" s="3" t="s">
        <v>155</v>
      </c>
      <c r="H50" s="4" t="s">
        <v>23</v>
      </c>
      <c r="I50" s="2">
        <v>41.0</v>
      </c>
      <c r="J50" s="2">
        <v>17594.0</v>
      </c>
      <c r="K50" s="3" t="s">
        <v>24</v>
      </c>
      <c r="L50" s="3" t="s">
        <v>25</v>
      </c>
      <c r="M50" s="4" t="s">
        <v>150</v>
      </c>
      <c r="N50" s="2">
        <v>21500.0</v>
      </c>
      <c r="O50" s="2">
        <v>19600.0</v>
      </c>
      <c r="P50" s="5">
        <v>41991.0</v>
      </c>
      <c r="Q50" s="3" t="s">
        <v>27</v>
      </c>
    </row>
    <row r="51" ht="22.5" customHeight="1">
      <c r="A51" s="2">
        <v>2014.0</v>
      </c>
      <c r="B51" s="3" t="s">
        <v>128</v>
      </c>
      <c r="C51" s="3" t="s">
        <v>134</v>
      </c>
      <c r="D51" s="4" t="s">
        <v>140</v>
      </c>
      <c r="E51" s="3" t="s">
        <v>20</v>
      </c>
      <c r="F51" s="3" t="s">
        <v>21</v>
      </c>
      <c r="G51" s="3" t="s">
        <v>156</v>
      </c>
      <c r="H51" s="4" t="s">
        <v>23</v>
      </c>
      <c r="I51" s="2">
        <v>2.0</v>
      </c>
      <c r="J51" s="2">
        <v>8154.0</v>
      </c>
      <c r="K51" s="3" t="s">
        <v>36</v>
      </c>
      <c r="L51" s="3" t="s">
        <v>25</v>
      </c>
      <c r="M51" s="4" t="s">
        <v>63</v>
      </c>
      <c r="N51" s="2">
        <v>14150.0</v>
      </c>
      <c r="O51" s="2">
        <v>10000.0</v>
      </c>
      <c r="P51" s="5">
        <v>41991.0</v>
      </c>
      <c r="Q51" s="3" t="s">
        <v>27</v>
      </c>
    </row>
    <row r="52" ht="22.5" customHeight="1">
      <c r="A52" s="2">
        <v>2014.0</v>
      </c>
      <c r="B52" s="3" t="s">
        <v>128</v>
      </c>
      <c r="C52" s="3" t="s">
        <v>144</v>
      </c>
      <c r="D52" s="4" t="s">
        <v>137</v>
      </c>
      <c r="E52" s="3" t="s">
        <v>145</v>
      </c>
      <c r="F52" s="3" t="s">
        <v>21</v>
      </c>
      <c r="G52" s="3" t="s">
        <v>157</v>
      </c>
      <c r="H52" s="4" t="s">
        <v>23</v>
      </c>
      <c r="I52" s="2">
        <v>4.0</v>
      </c>
      <c r="J52" s="2">
        <v>9685.0</v>
      </c>
      <c r="K52" s="3" t="s">
        <v>32</v>
      </c>
      <c r="L52" s="3" t="s">
        <v>25</v>
      </c>
      <c r="M52" s="4" t="s">
        <v>158</v>
      </c>
      <c r="N52" s="2">
        <v>31700.0</v>
      </c>
      <c r="O52" s="2">
        <v>30000.0</v>
      </c>
      <c r="P52" s="5">
        <v>41991.0</v>
      </c>
      <c r="Q52" s="3" t="s">
        <v>27</v>
      </c>
    </row>
    <row r="53" ht="22.5" customHeight="1">
      <c r="A53" s="2">
        <v>2014.0</v>
      </c>
      <c r="B53" s="3" t="s">
        <v>128</v>
      </c>
      <c r="C53" s="3" t="s">
        <v>134</v>
      </c>
      <c r="D53" s="4" t="s">
        <v>135</v>
      </c>
      <c r="E53" s="3" t="s">
        <v>20</v>
      </c>
      <c r="F53" s="3" t="s">
        <v>21</v>
      </c>
      <c r="G53" s="3" t="s">
        <v>159</v>
      </c>
      <c r="H53" s="4" t="s">
        <v>23</v>
      </c>
      <c r="I53" s="2">
        <v>42.0</v>
      </c>
      <c r="J53" s="2">
        <v>37888.0</v>
      </c>
      <c r="K53" s="3" t="s">
        <v>24</v>
      </c>
      <c r="L53" s="3" t="s">
        <v>25</v>
      </c>
      <c r="M53" s="4" t="s">
        <v>160</v>
      </c>
      <c r="N53" s="2">
        <v>11600.0</v>
      </c>
      <c r="O53" s="2">
        <v>11500.0</v>
      </c>
      <c r="P53" s="5">
        <v>42003.0</v>
      </c>
      <c r="Q53" s="3" t="s">
        <v>42</v>
      </c>
    </row>
    <row r="54" ht="22.5" customHeight="1">
      <c r="A54" s="2">
        <v>2014.0</v>
      </c>
      <c r="B54" s="3" t="s">
        <v>128</v>
      </c>
      <c r="C54" s="3" t="s">
        <v>129</v>
      </c>
      <c r="D54" s="4" t="s">
        <v>130</v>
      </c>
      <c r="E54" s="3" t="s">
        <v>49</v>
      </c>
      <c r="F54" s="3" t="s">
        <v>21</v>
      </c>
      <c r="G54" s="3" t="s">
        <v>161</v>
      </c>
      <c r="H54" s="4" t="s">
        <v>23</v>
      </c>
      <c r="I54" s="2">
        <v>17.0</v>
      </c>
      <c r="J54" s="2">
        <v>13441.0</v>
      </c>
      <c r="K54" s="3" t="s">
        <v>25</v>
      </c>
      <c r="L54" s="3" t="s">
        <v>25</v>
      </c>
      <c r="M54" s="4" t="s">
        <v>162</v>
      </c>
      <c r="N54" s="2">
        <v>17750.0</v>
      </c>
      <c r="O54" s="2">
        <v>17000.0</v>
      </c>
      <c r="P54" s="5">
        <v>42003.0</v>
      </c>
      <c r="Q54" s="3" t="s">
        <v>42</v>
      </c>
    </row>
    <row r="55" ht="22.5" customHeight="1">
      <c r="A55" s="2">
        <v>2014.0</v>
      </c>
      <c r="B55" s="3" t="s">
        <v>128</v>
      </c>
      <c r="C55" s="3" t="s">
        <v>129</v>
      </c>
      <c r="D55" s="4" t="s">
        <v>137</v>
      </c>
      <c r="E55" s="3" t="s">
        <v>49</v>
      </c>
      <c r="F55" s="3" t="s">
        <v>21</v>
      </c>
      <c r="G55" s="3" t="s">
        <v>163</v>
      </c>
      <c r="H55" s="4" t="s">
        <v>23</v>
      </c>
      <c r="I55" s="2">
        <v>3.0</v>
      </c>
      <c r="J55" s="2">
        <v>13606.0</v>
      </c>
      <c r="K55" s="3" t="s">
        <v>25</v>
      </c>
      <c r="L55" s="3" t="s">
        <v>25</v>
      </c>
      <c r="M55" s="4" t="s">
        <v>63</v>
      </c>
      <c r="N55" s="2">
        <v>21400.0</v>
      </c>
      <c r="O55" s="2">
        <v>13000.0</v>
      </c>
      <c r="P55" s="5">
        <v>42010.0</v>
      </c>
      <c r="Q55" s="3" t="s">
        <v>42</v>
      </c>
    </row>
    <row r="56" ht="22.5" customHeight="1">
      <c r="A56" s="2">
        <v>2015.0</v>
      </c>
      <c r="B56" s="3" t="s">
        <v>128</v>
      </c>
      <c r="C56" s="3" t="s">
        <v>164</v>
      </c>
      <c r="D56" s="4" t="s">
        <v>137</v>
      </c>
      <c r="E56" s="3" t="s">
        <v>20</v>
      </c>
      <c r="F56" s="3" t="s">
        <v>21</v>
      </c>
      <c r="G56" s="3" t="s">
        <v>165</v>
      </c>
      <c r="H56" s="4" t="s">
        <v>23</v>
      </c>
      <c r="I56" s="2">
        <v>1.0</v>
      </c>
      <c r="J56" s="2">
        <v>6105.0</v>
      </c>
      <c r="K56" s="3" t="s">
        <v>36</v>
      </c>
      <c r="L56" s="3" t="s">
        <v>25</v>
      </c>
      <c r="M56" s="4" t="s">
        <v>63</v>
      </c>
      <c r="N56" s="2">
        <v>16600.0</v>
      </c>
      <c r="O56" s="2">
        <v>9800.0</v>
      </c>
      <c r="P56" s="5">
        <v>42018.0</v>
      </c>
      <c r="Q56" s="3" t="s">
        <v>84</v>
      </c>
    </row>
    <row r="57" ht="22.5" customHeight="1">
      <c r="A57" s="2">
        <v>2014.0</v>
      </c>
      <c r="B57" s="3" t="s">
        <v>128</v>
      </c>
      <c r="C57" s="3" t="s">
        <v>134</v>
      </c>
      <c r="D57" s="4" t="s">
        <v>140</v>
      </c>
      <c r="E57" s="3" t="s">
        <v>20</v>
      </c>
      <c r="F57" s="3" t="s">
        <v>21</v>
      </c>
      <c r="G57" s="3" t="s">
        <v>166</v>
      </c>
      <c r="H57" s="4" t="s">
        <v>23</v>
      </c>
      <c r="I57" s="2">
        <v>42.0</v>
      </c>
      <c r="J57" s="2">
        <v>39623.0</v>
      </c>
      <c r="K57" s="3" t="s">
        <v>167</v>
      </c>
      <c r="L57" s="3" t="s">
        <v>25</v>
      </c>
      <c r="M57" s="4" t="s">
        <v>168</v>
      </c>
      <c r="N57" s="2">
        <v>13350.0</v>
      </c>
      <c r="O57" s="2">
        <v>13200.0</v>
      </c>
      <c r="P57" s="5">
        <v>42019.0</v>
      </c>
      <c r="Q57" s="3" t="s">
        <v>27</v>
      </c>
    </row>
    <row r="58" ht="22.5" customHeight="1">
      <c r="A58" s="2">
        <v>2014.0</v>
      </c>
      <c r="B58" s="3" t="s">
        <v>128</v>
      </c>
      <c r="C58" s="3" t="s">
        <v>129</v>
      </c>
      <c r="D58" s="4" t="s">
        <v>137</v>
      </c>
      <c r="E58" s="3" t="s">
        <v>86</v>
      </c>
      <c r="F58" s="3" t="s">
        <v>21</v>
      </c>
      <c r="G58" s="3" t="s">
        <v>169</v>
      </c>
      <c r="H58" s="4" t="s">
        <v>23</v>
      </c>
      <c r="I58" s="2">
        <v>3.0</v>
      </c>
      <c r="J58" s="2">
        <v>4809.0</v>
      </c>
      <c r="K58" s="3" t="s">
        <v>139</v>
      </c>
      <c r="L58" s="3" t="s">
        <v>25</v>
      </c>
      <c r="M58" s="4" t="s">
        <v>170</v>
      </c>
      <c r="N58" s="2">
        <v>26300.0</v>
      </c>
      <c r="O58" s="2">
        <v>17500.0</v>
      </c>
      <c r="P58" s="5">
        <v>42024.0</v>
      </c>
      <c r="Q58" s="3" t="s">
        <v>42</v>
      </c>
    </row>
    <row r="59" ht="22.5" customHeight="1">
      <c r="A59" s="2">
        <v>2014.0</v>
      </c>
      <c r="B59" s="3" t="s">
        <v>128</v>
      </c>
      <c r="C59" s="3" t="s">
        <v>134</v>
      </c>
      <c r="D59" s="4" t="s">
        <v>140</v>
      </c>
      <c r="E59" s="3" t="s">
        <v>20</v>
      </c>
      <c r="F59" s="3" t="s">
        <v>21</v>
      </c>
      <c r="G59" s="3" t="s">
        <v>171</v>
      </c>
      <c r="H59" s="4" t="s">
        <v>23</v>
      </c>
      <c r="I59" s="2">
        <v>34.0</v>
      </c>
      <c r="J59" s="2">
        <v>40661.0</v>
      </c>
      <c r="K59" s="3" t="s">
        <v>36</v>
      </c>
      <c r="L59" s="3" t="s">
        <v>25</v>
      </c>
      <c r="M59" s="4" t="s">
        <v>168</v>
      </c>
      <c r="N59" s="2">
        <v>13050.0</v>
      </c>
      <c r="O59" s="2">
        <v>13000.0</v>
      </c>
      <c r="P59" s="5">
        <v>42026.0</v>
      </c>
      <c r="Q59" s="3" t="s">
        <v>27</v>
      </c>
    </row>
    <row r="60" ht="22.5" customHeight="1">
      <c r="A60" s="2">
        <v>2014.0</v>
      </c>
      <c r="B60" s="3" t="s">
        <v>128</v>
      </c>
      <c r="C60" s="3" t="s">
        <v>134</v>
      </c>
      <c r="D60" s="4" t="s">
        <v>140</v>
      </c>
      <c r="E60" s="3" t="s">
        <v>20</v>
      </c>
      <c r="F60" s="3" t="s">
        <v>21</v>
      </c>
      <c r="G60" s="3" t="s">
        <v>172</v>
      </c>
      <c r="H60" s="4" t="s">
        <v>23</v>
      </c>
      <c r="I60" s="2">
        <v>42.0</v>
      </c>
      <c r="J60" s="2">
        <v>40560.0</v>
      </c>
      <c r="K60" s="3" t="s">
        <v>24</v>
      </c>
      <c r="L60" s="3" t="s">
        <v>173</v>
      </c>
      <c r="M60" s="4" t="s">
        <v>168</v>
      </c>
      <c r="N60" s="2">
        <v>12800.0</v>
      </c>
      <c r="O60" s="2">
        <v>12800.0</v>
      </c>
      <c r="P60" s="5">
        <v>42047.0</v>
      </c>
      <c r="Q60" s="3" t="s">
        <v>27</v>
      </c>
    </row>
    <row r="61" ht="22.5" customHeight="1">
      <c r="A61" s="2">
        <v>2015.0</v>
      </c>
      <c r="B61" s="3" t="s">
        <v>128</v>
      </c>
      <c r="C61" s="3" t="s">
        <v>174</v>
      </c>
      <c r="D61" s="4" t="s">
        <v>152</v>
      </c>
      <c r="E61" s="3" t="s">
        <v>20</v>
      </c>
      <c r="F61" s="3" t="s">
        <v>21</v>
      </c>
      <c r="G61" s="3" t="s">
        <v>175</v>
      </c>
      <c r="H61" s="4" t="s">
        <v>23</v>
      </c>
      <c r="I61" s="2">
        <v>19.0</v>
      </c>
      <c r="J61" s="2">
        <v>14538.0</v>
      </c>
      <c r="K61" s="3" t="s">
        <v>36</v>
      </c>
      <c r="L61" s="3" t="s">
        <v>25</v>
      </c>
      <c r="M61" s="4" t="s">
        <v>63</v>
      </c>
      <c r="N61" s="2">
        <v>24300.0</v>
      </c>
      <c r="O61" s="2">
        <v>7200.0</v>
      </c>
      <c r="P61" s="5">
        <v>42192.0</v>
      </c>
      <c r="Q61" s="3" t="s">
        <v>42</v>
      </c>
    </row>
    <row r="62" ht="22.5" customHeight="1">
      <c r="A62" s="2">
        <v>2015.0</v>
      </c>
      <c r="B62" s="3" t="s">
        <v>176</v>
      </c>
      <c r="C62" s="3" t="s">
        <v>177</v>
      </c>
      <c r="D62" s="4" t="s">
        <v>178</v>
      </c>
      <c r="E62" s="3" t="s">
        <v>20</v>
      </c>
      <c r="F62" s="3" t="s">
        <v>21</v>
      </c>
      <c r="G62" s="3" t="s">
        <v>179</v>
      </c>
      <c r="H62" s="4" t="s">
        <v>23</v>
      </c>
      <c r="I62" s="2">
        <v>1.0</v>
      </c>
      <c r="J62" s="2">
        <v>4205.0</v>
      </c>
      <c r="K62" s="3" t="s">
        <v>32</v>
      </c>
      <c r="L62" s="3" t="s">
        <v>25</v>
      </c>
      <c r="M62" s="4" t="s">
        <v>63</v>
      </c>
      <c r="N62" s="2">
        <v>14700.0</v>
      </c>
      <c r="O62" s="2">
        <v>12000.0</v>
      </c>
      <c r="P62" s="5">
        <v>41990.0</v>
      </c>
      <c r="Q62" s="3" t="s">
        <v>84</v>
      </c>
    </row>
    <row r="63" ht="22.5" customHeight="1">
      <c r="A63" s="2">
        <v>2015.0</v>
      </c>
      <c r="B63" s="3" t="s">
        <v>176</v>
      </c>
      <c r="C63" s="3" t="s">
        <v>177</v>
      </c>
      <c r="D63" s="4" t="s">
        <v>178</v>
      </c>
      <c r="E63" s="3" t="s">
        <v>20</v>
      </c>
      <c r="F63" s="3" t="s">
        <v>21</v>
      </c>
      <c r="G63" s="3" t="s">
        <v>180</v>
      </c>
      <c r="H63" s="4" t="s">
        <v>23</v>
      </c>
      <c r="I63" s="2">
        <v>2.0</v>
      </c>
      <c r="J63" s="2">
        <v>5559.0</v>
      </c>
      <c r="K63" s="3" t="s">
        <v>32</v>
      </c>
      <c r="L63" s="3" t="s">
        <v>181</v>
      </c>
      <c r="M63" s="4" t="s">
        <v>63</v>
      </c>
      <c r="N63" s="2">
        <v>15350.0</v>
      </c>
      <c r="O63" s="2">
        <v>12000.0</v>
      </c>
      <c r="P63" s="5">
        <v>42017.0</v>
      </c>
      <c r="Q63" s="3" t="s">
        <v>42</v>
      </c>
    </row>
    <row r="64" ht="22.5" customHeight="1">
      <c r="A64" s="2">
        <v>2015.0</v>
      </c>
      <c r="B64" s="3" t="s">
        <v>182</v>
      </c>
      <c r="C64" s="3" t="s">
        <v>183</v>
      </c>
      <c r="D64" s="4" t="s">
        <v>178</v>
      </c>
      <c r="E64" s="3" t="s">
        <v>20</v>
      </c>
      <c r="F64" s="3" t="s">
        <v>21</v>
      </c>
      <c r="G64" s="3" t="s">
        <v>184</v>
      </c>
      <c r="H64" s="4" t="s">
        <v>23</v>
      </c>
      <c r="I64" s="2">
        <v>1.0</v>
      </c>
      <c r="J64" s="2">
        <v>7879.0</v>
      </c>
      <c r="K64" s="3" t="s">
        <v>36</v>
      </c>
      <c r="L64" s="3" t="s">
        <v>24</v>
      </c>
      <c r="M64" s="4" t="s">
        <v>63</v>
      </c>
      <c r="N64" s="2">
        <v>13800.0</v>
      </c>
      <c r="O64" s="2">
        <v>10500.0</v>
      </c>
      <c r="P64" s="5">
        <v>41989.0</v>
      </c>
      <c r="Q64" s="3" t="s">
        <v>42</v>
      </c>
    </row>
    <row r="65" ht="22.5" customHeight="1">
      <c r="A65" s="2">
        <v>2015.0</v>
      </c>
      <c r="B65" s="3" t="s">
        <v>182</v>
      </c>
      <c r="C65" s="3" t="s">
        <v>183</v>
      </c>
      <c r="D65" s="4" t="s">
        <v>178</v>
      </c>
      <c r="E65" s="3" t="s">
        <v>20</v>
      </c>
      <c r="F65" s="3" t="s">
        <v>21</v>
      </c>
      <c r="G65" s="3" t="s">
        <v>185</v>
      </c>
      <c r="H65" s="4" t="s">
        <v>23</v>
      </c>
      <c r="I65" s="2">
        <v>2.0</v>
      </c>
      <c r="J65" s="2">
        <v>7800.0</v>
      </c>
      <c r="K65" s="3" t="s">
        <v>36</v>
      </c>
      <c r="L65" s="3" t="s">
        <v>24</v>
      </c>
      <c r="M65" s="4" t="s">
        <v>63</v>
      </c>
      <c r="N65" s="2">
        <v>13800.0</v>
      </c>
      <c r="O65" s="2">
        <v>9000.0</v>
      </c>
      <c r="P65" s="5">
        <v>41989.0</v>
      </c>
      <c r="Q65" s="3" t="s">
        <v>42</v>
      </c>
    </row>
    <row r="66" ht="22.5" customHeight="1">
      <c r="A66" s="2">
        <v>2013.0</v>
      </c>
      <c r="B66" s="3" t="s">
        <v>182</v>
      </c>
      <c r="C66" s="3" t="s">
        <v>186</v>
      </c>
      <c r="D66" s="4" t="s">
        <v>187</v>
      </c>
      <c r="E66" s="3" t="s">
        <v>30</v>
      </c>
      <c r="F66" s="3" t="s">
        <v>21</v>
      </c>
      <c r="G66" s="3" t="s">
        <v>188</v>
      </c>
      <c r="H66" s="4" t="s">
        <v>23</v>
      </c>
      <c r="I66" s="2">
        <v>5.0</v>
      </c>
      <c r="J66" s="2">
        <v>14974.0</v>
      </c>
      <c r="K66" s="3" t="s">
        <v>32</v>
      </c>
      <c r="L66" s="3" t="s">
        <v>24</v>
      </c>
      <c r="M66" s="4" t="s">
        <v>189</v>
      </c>
      <c r="N66" s="2">
        <v>28300.0</v>
      </c>
      <c r="O66" s="2">
        <v>27000.0</v>
      </c>
      <c r="P66" s="5">
        <v>41989.0</v>
      </c>
      <c r="Q66" s="3" t="s">
        <v>42</v>
      </c>
    </row>
    <row r="67" ht="22.5" customHeight="1">
      <c r="A67" s="2">
        <v>2013.0</v>
      </c>
      <c r="B67" s="3" t="s">
        <v>182</v>
      </c>
      <c r="C67" s="3" t="s">
        <v>190</v>
      </c>
      <c r="D67" s="4" t="s">
        <v>191</v>
      </c>
      <c r="E67" s="3" t="s">
        <v>20</v>
      </c>
      <c r="F67" s="3" t="s">
        <v>21</v>
      </c>
      <c r="G67" s="3" t="s">
        <v>192</v>
      </c>
      <c r="H67" s="4" t="s">
        <v>23</v>
      </c>
      <c r="I67" s="2">
        <v>47.0</v>
      </c>
      <c r="J67" s="2">
        <v>21463.0</v>
      </c>
      <c r="K67" s="3" t="s">
        <v>24</v>
      </c>
      <c r="L67" s="3" t="s">
        <v>25</v>
      </c>
      <c r="M67" s="4" t="s">
        <v>193</v>
      </c>
      <c r="N67" s="2">
        <v>27100.0</v>
      </c>
      <c r="O67" s="2">
        <v>27400.0</v>
      </c>
      <c r="P67" s="5">
        <v>41989.0</v>
      </c>
      <c r="Q67" s="3" t="s">
        <v>42</v>
      </c>
    </row>
    <row r="68" ht="22.5" customHeight="1">
      <c r="A68" s="2">
        <v>2013.0</v>
      </c>
      <c r="B68" s="3" t="s">
        <v>182</v>
      </c>
      <c r="C68" s="3" t="s">
        <v>183</v>
      </c>
      <c r="D68" s="4" t="s">
        <v>194</v>
      </c>
      <c r="E68" s="3" t="s">
        <v>20</v>
      </c>
      <c r="F68" s="3" t="s">
        <v>21</v>
      </c>
      <c r="G68" s="3" t="s">
        <v>195</v>
      </c>
      <c r="H68" s="4" t="s">
        <v>23</v>
      </c>
      <c r="I68" s="2">
        <v>26.0</v>
      </c>
      <c r="J68" s="2">
        <v>56651.0</v>
      </c>
      <c r="K68" s="3" t="s">
        <v>139</v>
      </c>
      <c r="L68" s="3" t="s">
        <v>181</v>
      </c>
      <c r="M68" s="4" t="s">
        <v>196</v>
      </c>
      <c r="N68" s="2">
        <v>10250.0</v>
      </c>
      <c r="O68" s="2">
        <v>10700.0</v>
      </c>
      <c r="P68" s="5">
        <v>41989.0</v>
      </c>
      <c r="Q68" s="3" t="s">
        <v>42</v>
      </c>
    </row>
    <row r="69" ht="22.5" customHeight="1">
      <c r="A69" s="2">
        <v>2013.0</v>
      </c>
      <c r="B69" s="3" t="s">
        <v>182</v>
      </c>
      <c r="C69" s="3" t="s">
        <v>186</v>
      </c>
      <c r="D69" s="4" t="s">
        <v>187</v>
      </c>
      <c r="E69" s="3" t="s">
        <v>30</v>
      </c>
      <c r="F69" s="3" t="s">
        <v>21</v>
      </c>
      <c r="G69" s="3" t="s">
        <v>197</v>
      </c>
      <c r="H69" s="4" t="s">
        <v>23</v>
      </c>
      <c r="I69" s="2">
        <v>5.0</v>
      </c>
      <c r="J69" s="2">
        <v>11439.0</v>
      </c>
      <c r="K69" s="3" t="s">
        <v>32</v>
      </c>
      <c r="L69" s="3" t="s">
        <v>173</v>
      </c>
      <c r="M69" s="4" t="s">
        <v>193</v>
      </c>
      <c r="N69" s="2">
        <v>28500.0</v>
      </c>
      <c r="O69" s="2">
        <v>30800.0</v>
      </c>
      <c r="P69" s="5">
        <v>41989.0</v>
      </c>
      <c r="Q69" s="3" t="s">
        <v>42</v>
      </c>
    </row>
    <row r="70" ht="22.5" customHeight="1">
      <c r="A70" s="2">
        <v>2013.0</v>
      </c>
      <c r="B70" s="3" t="s">
        <v>182</v>
      </c>
      <c r="C70" s="3" t="s">
        <v>183</v>
      </c>
      <c r="D70" s="4" t="s">
        <v>194</v>
      </c>
      <c r="E70" s="3" t="s">
        <v>20</v>
      </c>
      <c r="F70" s="3" t="s">
        <v>21</v>
      </c>
      <c r="G70" s="3" t="s">
        <v>198</v>
      </c>
      <c r="H70" s="4" t="s">
        <v>23</v>
      </c>
      <c r="I70" s="2">
        <v>2.0</v>
      </c>
      <c r="J70" s="2">
        <v>37436.0</v>
      </c>
      <c r="K70" s="3" t="s">
        <v>36</v>
      </c>
      <c r="L70" s="3" t="s">
        <v>24</v>
      </c>
      <c r="M70" s="4" t="s">
        <v>63</v>
      </c>
      <c r="N70" s="2">
        <v>11400.0</v>
      </c>
      <c r="O70" s="2">
        <v>8800.0</v>
      </c>
      <c r="P70" s="5">
        <v>41989.0</v>
      </c>
      <c r="Q70" s="3" t="s">
        <v>42</v>
      </c>
    </row>
    <row r="71" ht="22.5" customHeight="1">
      <c r="A71" s="2">
        <v>2013.0</v>
      </c>
      <c r="B71" s="3" t="s">
        <v>182</v>
      </c>
      <c r="C71" s="3" t="s">
        <v>183</v>
      </c>
      <c r="D71" s="4" t="s">
        <v>194</v>
      </c>
      <c r="E71" s="3" t="s">
        <v>20</v>
      </c>
      <c r="F71" s="3" t="s">
        <v>131</v>
      </c>
      <c r="G71" s="3" t="s">
        <v>199</v>
      </c>
      <c r="H71" s="4" t="s">
        <v>23</v>
      </c>
      <c r="I71" s="2">
        <v>49.0</v>
      </c>
      <c r="J71" s="2">
        <v>2606.0</v>
      </c>
      <c r="K71" s="3" t="s">
        <v>32</v>
      </c>
      <c r="L71" s="3" t="s">
        <v>181</v>
      </c>
      <c r="M71" s="4" t="s">
        <v>193</v>
      </c>
      <c r="N71" s="2">
        <v>13450.0</v>
      </c>
      <c r="O71" s="2">
        <v>12300.0</v>
      </c>
      <c r="P71" s="5">
        <v>41989.0</v>
      </c>
      <c r="Q71" s="3" t="s">
        <v>42</v>
      </c>
    </row>
    <row r="72" ht="22.5" customHeight="1">
      <c r="A72" s="2">
        <v>2013.0</v>
      </c>
      <c r="B72" s="3" t="s">
        <v>182</v>
      </c>
      <c r="C72" s="3" t="s">
        <v>200</v>
      </c>
      <c r="D72" s="4" t="s">
        <v>187</v>
      </c>
      <c r="E72" s="3" t="s">
        <v>20</v>
      </c>
      <c r="F72" s="3" t="s">
        <v>21</v>
      </c>
      <c r="G72" s="3" t="s">
        <v>201</v>
      </c>
      <c r="H72" s="4" t="s">
        <v>23</v>
      </c>
      <c r="I72" s="2">
        <v>48.0</v>
      </c>
      <c r="J72" s="2">
        <v>16386.0</v>
      </c>
      <c r="K72" s="3" t="s">
        <v>32</v>
      </c>
      <c r="L72" s="3" t="s">
        <v>24</v>
      </c>
      <c r="M72" s="4" t="s">
        <v>193</v>
      </c>
      <c r="N72" s="2">
        <v>18000.0</v>
      </c>
      <c r="O72" s="2">
        <v>18800.0</v>
      </c>
      <c r="P72" s="5">
        <v>41989.0</v>
      </c>
      <c r="Q72" s="3" t="s">
        <v>42</v>
      </c>
    </row>
    <row r="73" ht="22.5" customHeight="1">
      <c r="A73" s="2">
        <v>2013.0</v>
      </c>
      <c r="B73" s="3" t="s">
        <v>182</v>
      </c>
      <c r="C73" s="3" t="s">
        <v>186</v>
      </c>
      <c r="D73" s="4" t="s">
        <v>202</v>
      </c>
      <c r="E73" s="3" t="s">
        <v>30</v>
      </c>
      <c r="F73" s="3" t="s">
        <v>21</v>
      </c>
      <c r="G73" s="3" t="s">
        <v>203</v>
      </c>
      <c r="H73" s="4" t="s">
        <v>23</v>
      </c>
      <c r="I73" s="2">
        <v>48.0</v>
      </c>
      <c r="J73" s="2">
        <v>20663.0</v>
      </c>
      <c r="K73" s="3" t="s">
        <v>24</v>
      </c>
      <c r="L73" s="3" t="s">
        <v>24</v>
      </c>
      <c r="M73" s="4" t="s">
        <v>193</v>
      </c>
      <c r="N73" s="2">
        <v>19500.0</v>
      </c>
      <c r="O73" s="2">
        <v>19200.0</v>
      </c>
      <c r="P73" s="5">
        <v>41989.0</v>
      </c>
      <c r="Q73" s="3" t="s">
        <v>42</v>
      </c>
    </row>
    <row r="74" ht="22.5" customHeight="1">
      <c r="A74" s="2">
        <v>2013.0</v>
      </c>
      <c r="B74" s="3" t="s">
        <v>182</v>
      </c>
      <c r="C74" s="3" t="s">
        <v>186</v>
      </c>
      <c r="D74" s="4" t="s">
        <v>187</v>
      </c>
      <c r="E74" s="3" t="s">
        <v>30</v>
      </c>
      <c r="F74" s="3" t="s">
        <v>21</v>
      </c>
      <c r="G74" s="3" t="s">
        <v>204</v>
      </c>
      <c r="H74" s="4" t="s">
        <v>23</v>
      </c>
      <c r="I74" s="2">
        <v>42.0</v>
      </c>
      <c r="J74" s="2">
        <v>13225.0</v>
      </c>
      <c r="K74" s="3" t="s">
        <v>25</v>
      </c>
      <c r="L74" s="3" t="s">
        <v>173</v>
      </c>
      <c r="M74" s="4" t="s">
        <v>193</v>
      </c>
      <c r="N74" s="2">
        <v>23400.0</v>
      </c>
      <c r="O74" s="2">
        <v>26000.0</v>
      </c>
      <c r="P74" s="5">
        <v>41989.0</v>
      </c>
      <c r="Q74" s="3" t="s">
        <v>42</v>
      </c>
    </row>
    <row r="75" ht="22.5" customHeight="1">
      <c r="A75" s="2">
        <v>2013.0</v>
      </c>
      <c r="B75" s="3" t="s">
        <v>182</v>
      </c>
      <c r="C75" s="3" t="s">
        <v>200</v>
      </c>
      <c r="D75" s="4" t="s">
        <v>187</v>
      </c>
      <c r="E75" s="3" t="s">
        <v>20</v>
      </c>
      <c r="F75" s="3" t="s">
        <v>21</v>
      </c>
      <c r="G75" s="3" t="s">
        <v>205</v>
      </c>
      <c r="H75" s="4" t="s">
        <v>23</v>
      </c>
      <c r="I75" s="2">
        <v>46.0</v>
      </c>
      <c r="J75" s="2">
        <v>13736.0</v>
      </c>
      <c r="K75" s="3" t="s">
        <v>25</v>
      </c>
      <c r="L75" s="3" t="s">
        <v>181</v>
      </c>
      <c r="M75" s="4" t="s">
        <v>193</v>
      </c>
      <c r="N75" s="2">
        <v>18350.0</v>
      </c>
      <c r="O75" s="2">
        <v>17700.0</v>
      </c>
      <c r="P75" s="5">
        <v>41989.0</v>
      </c>
      <c r="Q75" s="3" t="s">
        <v>42</v>
      </c>
    </row>
    <row r="76" ht="22.5" customHeight="1">
      <c r="A76" s="2">
        <v>2013.0</v>
      </c>
      <c r="B76" s="3" t="s">
        <v>182</v>
      </c>
      <c r="C76" s="3" t="s">
        <v>183</v>
      </c>
      <c r="D76" s="4" t="s">
        <v>194</v>
      </c>
      <c r="E76" s="3" t="s">
        <v>20</v>
      </c>
      <c r="F76" s="3" t="s">
        <v>21</v>
      </c>
      <c r="G76" s="3" t="s">
        <v>206</v>
      </c>
      <c r="H76" s="4" t="s">
        <v>23</v>
      </c>
      <c r="I76" s="2">
        <v>2.0</v>
      </c>
      <c r="J76" s="2">
        <v>25442.0</v>
      </c>
      <c r="K76" s="3" t="s">
        <v>207</v>
      </c>
      <c r="L76" s="3" t="s">
        <v>181</v>
      </c>
      <c r="M76" s="4" t="s">
        <v>63</v>
      </c>
      <c r="N76" s="2">
        <v>12150.0</v>
      </c>
      <c r="O76" s="2">
        <v>6700.0</v>
      </c>
      <c r="P76" s="5">
        <v>41989.0</v>
      </c>
      <c r="Q76" s="3" t="s">
        <v>42</v>
      </c>
    </row>
    <row r="77" ht="22.5" customHeight="1">
      <c r="A77" s="2">
        <v>2013.0</v>
      </c>
      <c r="B77" s="3" t="s">
        <v>182</v>
      </c>
      <c r="C77" s="3" t="s">
        <v>186</v>
      </c>
      <c r="D77" s="4" t="s">
        <v>208</v>
      </c>
      <c r="E77" s="3" t="s">
        <v>30</v>
      </c>
      <c r="F77" s="3" t="s">
        <v>21</v>
      </c>
      <c r="G77" s="3" t="s">
        <v>209</v>
      </c>
      <c r="H77" s="4" t="s">
        <v>23</v>
      </c>
      <c r="I77" s="2">
        <v>47.0</v>
      </c>
      <c r="J77" s="2">
        <v>17367.0</v>
      </c>
      <c r="K77" s="3" t="s">
        <v>25</v>
      </c>
      <c r="L77" s="3" t="s">
        <v>181</v>
      </c>
      <c r="M77" s="4" t="s">
        <v>193</v>
      </c>
      <c r="N77" s="2">
        <v>21400.0</v>
      </c>
      <c r="O77" s="2">
        <v>24100.0</v>
      </c>
      <c r="P77" s="5">
        <v>41989.0</v>
      </c>
      <c r="Q77" s="3" t="s">
        <v>42</v>
      </c>
    </row>
    <row r="78" ht="22.5" customHeight="1">
      <c r="A78" s="2">
        <v>2013.0</v>
      </c>
      <c r="B78" s="3" t="s">
        <v>182</v>
      </c>
      <c r="C78" s="3" t="s">
        <v>210</v>
      </c>
      <c r="D78" s="4" t="s">
        <v>187</v>
      </c>
      <c r="E78" s="3" t="s">
        <v>20</v>
      </c>
      <c r="F78" s="3" t="s">
        <v>21</v>
      </c>
      <c r="G78" s="3" t="s">
        <v>211</v>
      </c>
      <c r="H78" s="4" t="s">
        <v>23</v>
      </c>
      <c r="I78" s="2">
        <v>43.0</v>
      </c>
      <c r="J78" s="2">
        <v>18479.0</v>
      </c>
      <c r="K78" s="3" t="s">
        <v>32</v>
      </c>
      <c r="L78" s="3" t="s">
        <v>212</v>
      </c>
      <c r="M78" s="4" t="s">
        <v>193</v>
      </c>
      <c r="N78" s="2">
        <v>16900.0</v>
      </c>
      <c r="O78" s="2">
        <v>18100.0</v>
      </c>
      <c r="P78" s="5">
        <v>41989.0</v>
      </c>
      <c r="Q78" s="3" t="s">
        <v>42</v>
      </c>
    </row>
    <row r="79" ht="22.5" customHeight="1">
      <c r="A79" s="2">
        <v>2013.0</v>
      </c>
      <c r="B79" s="3" t="s">
        <v>182</v>
      </c>
      <c r="C79" s="3" t="s">
        <v>213</v>
      </c>
      <c r="D79" s="4" t="s">
        <v>214</v>
      </c>
      <c r="E79" s="3" t="s">
        <v>215</v>
      </c>
      <c r="F79" s="3" t="s">
        <v>21</v>
      </c>
      <c r="G79" s="3" t="s">
        <v>216</v>
      </c>
      <c r="H79" s="4" t="s">
        <v>23</v>
      </c>
      <c r="I79" s="2">
        <v>36.0</v>
      </c>
      <c r="J79" s="2">
        <v>10474.0</v>
      </c>
      <c r="K79" s="3" t="s">
        <v>32</v>
      </c>
      <c r="L79" s="3" t="s">
        <v>25</v>
      </c>
      <c r="M79" s="4" t="s">
        <v>193</v>
      </c>
      <c r="N79" s="2">
        <v>15000.0</v>
      </c>
      <c r="O79" s="2">
        <v>16100.0</v>
      </c>
      <c r="P79" s="5">
        <v>41989.0</v>
      </c>
      <c r="Q79" s="3" t="s">
        <v>42</v>
      </c>
    </row>
    <row r="80" ht="22.5" customHeight="1">
      <c r="A80" s="2">
        <v>2013.0</v>
      </c>
      <c r="B80" s="3" t="s">
        <v>182</v>
      </c>
      <c r="C80" s="3" t="s">
        <v>217</v>
      </c>
      <c r="D80" s="4" t="s">
        <v>178</v>
      </c>
      <c r="E80" s="3" t="s">
        <v>217</v>
      </c>
      <c r="F80" s="3" t="s">
        <v>21</v>
      </c>
      <c r="G80" s="3" t="s">
        <v>218</v>
      </c>
      <c r="H80" s="4" t="s">
        <v>23</v>
      </c>
      <c r="I80" s="2">
        <v>43.0</v>
      </c>
      <c r="J80" s="2">
        <v>11809.0</v>
      </c>
      <c r="K80" s="3" t="s">
        <v>25</v>
      </c>
      <c r="L80" s="3" t="s">
        <v>25</v>
      </c>
      <c r="M80" s="4" t="s">
        <v>193</v>
      </c>
      <c r="N80" s="2">
        <v>14600.0</v>
      </c>
      <c r="O80" s="2">
        <v>16100.0</v>
      </c>
      <c r="P80" s="5">
        <v>41989.0</v>
      </c>
      <c r="Q80" s="3" t="s">
        <v>42</v>
      </c>
    </row>
    <row r="81" ht="22.5" customHeight="1">
      <c r="A81" s="2">
        <v>2013.0</v>
      </c>
      <c r="B81" s="3" t="s">
        <v>182</v>
      </c>
      <c r="C81" s="3" t="s">
        <v>200</v>
      </c>
      <c r="D81" s="4" t="s">
        <v>187</v>
      </c>
      <c r="E81" s="3" t="s">
        <v>20</v>
      </c>
      <c r="F81" s="3" t="s">
        <v>21</v>
      </c>
      <c r="G81" s="3" t="s">
        <v>219</v>
      </c>
      <c r="H81" s="4" t="s">
        <v>23</v>
      </c>
      <c r="I81" s="2">
        <v>47.0</v>
      </c>
      <c r="J81" s="2">
        <v>8595.0</v>
      </c>
      <c r="K81" s="3" t="s">
        <v>36</v>
      </c>
      <c r="L81" s="3" t="s">
        <v>24</v>
      </c>
      <c r="M81" s="4" t="s">
        <v>193</v>
      </c>
      <c r="N81" s="2">
        <v>19100.0</v>
      </c>
      <c r="O81" s="2">
        <v>18500.0</v>
      </c>
      <c r="P81" s="5">
        <v>41989.0</v>
      </c>
      <c r="Q81" s="3" t="s">
        <v>42</v>
      </c>
    </row>
    <row r="82" ht="22.5" customHeight="1">
      <c r="A82" s="2">
        <v>2013.0</v>
      </c>
      <c r="B82" s="3" t="s">
        <v>182</v>
      </c>
      <c r="C82" s="3" t="s">
        <v>220</v>
      </c>
      <c r="D82" s="4" t="s">
        <v>221</v>
      </c>
      <c r="E82" s="3" t="s">
        <v>215</v>
      </c>
      <c r="F82" s="3" t="s">
        <v>21</v>
      </c>
      <c r="G82" s="3" t="s">
        <v>222</v>
      </c>
      <c r="H82" s="4" t="s">
        <v>23</v>
      </c>
      <c r="I82" s="2">
        <v>46.0</v>
      </c>
      <c r="J82" s="2">
        <v>9927.0</v>
      </c>
      <c r="K82" s="3" t="s">
        <v>25</v>
      </c>
      <c r="L82" s="3" t="s">
        <v>25</v>
      </c>
      <c r="M82" s="4" t="s">
        <v>193</v>
      </c>
      <c r="N82" s="2">
        <v>10800.0</v>
      </c>
      <c r="O82" s="2">
        <v>11300.0</v>
      </c>
      <c r="P82" s="5">
        <v>41989.0</v>
      </c>
      <c r="Q82" s="3" t="s">
        <v>42</v>
      </c>
    </row>
    <row r="83" ht="22.5" customHeight="1">
      <c r="A83" s="2">
        <v>2013.0</v>
      </c>
      <c r="B83" s="3" t="s">
        <v>182</v>
      </c>
      <c r="C83" s="3" t="s">
        <v>183</v>
      </c>
      <c r="D83" s="4" t="s">
        <v>194</v>
      </c>
      <c r="E83" s="3" t="s">
        <v>20</v>
      </c>
      <c r="F83" s="3" t="s">
        <v>21</v>
      </c>
      <c r="G83" s="3" t="s">
        <v>223</v>
      </c>
      <c r="H83" s="4" t="s">
        <v>23</v>
      </c>
      <c r="I83" s="2">
        <v>1.0</v>
      </c>
      <c r="J83" s="2">
        <v>25960.0</v>
      </c>
      <c r="K83" s="3" t="s">
        <v>24</v>
      </c>
      <c r="L83" s="3" t="s">
        <v>24</v>
      </c>
      <c r="M83" s="4" t="s">
        <v>63</v>
      </c>
      <c r="N83" s="2">
        <v>12100.0</v>
      </c>
      <c r="O83" s="2">
        <v>8800.0</v>
      </c>
      <c r="P83" s="5">
        <v>41989.0</v>
      </c>
      <c r="Q83" s="3" t="s">
        <v>42</v>
      </c>
    </row>
    <row r="84" ht="22.5" customHeight="1">
      <c r="A84" s="2">
        <v>2013.0</v>
      </c>
      <c r="B84" s="3" t="s">
        <v>182</v>
      </c>
      <c r="C84" s="3" t="s">
        <v>224</v>
      </c>
      <c r="D84" s="4" t="s">
        <v>34</v>
      </c>
      <c r="E84" s="3" t="s">
        <v>20</v>
      </c>
      <c r="F84" s="3" t="s">
        <v>21</v>
      </c>
      <c r="G84" s="3" t="s">
        <v>225</v>
      </c>
      <c r="H84" s="4" t="s">
        <v>23</v>
      </c>
      <c r="I84" s="2">
        <v>45.0</v>
      </c>
      <c r="J84" s="2">
        <v>34566.0</v>
      </c>
      <c r="K84" s="3" t="s">
        <v>36</v>
      </c>
      <c r="L84" s="3" t="s">
        <v>25</v>
      </c>
      <c r="M84" s="4" t="s">
        <v>193</v>
      </c>
      <c r="N84" s="2">
        <v>20000.0</v>
      </c>
      <c r="O84" s="2">
        <v>20300.0</v>
      </c>
      <c r="P84" s="5">
        <v>41989.0</v>
      </c>
      <c r="Q84" s="3" t="s">
        <v>42</v>
      </c>
    </row>
    <row r="85" ht="22.5" customHeight="1">
      <c r="A85" s="2">
        <v>2013.0</v>
      </c>
      <c r="B85" s="3" t="s">
        <v>182</v>
      </c>
      <c r="C85" s="3" t="s">
        <v>186</v>
      </c>
      <c r="D85" s="4" t="s">
        <v>208</v>
      </c>
      <c r="E85" s="3" t="s">
        <v>30</v>
      </c>
      <c r="F85" s="3" t="s">
        <v>21</v>
      </c>
      <c r="G85" s="3" t="s">
        <v>226</v>
      </c>
      <c r="H85" s="4" t="s">
        <v>23</v>
      </c>
      <c r="I85" s="2">
        <v>5.0</v>
      </c>
      <c r="J85" s="2">
        <v>10747.0</v>
      </c>
      <c r="K85" s="3" t="s">
        <v>25</v>
      </c>
      <c r="L85" s="3" t="s">
        <v>25</v>
      </c>
      <c r="M85" s="4" t="s">
        <v>193</v>
      </c>
      <c r="N85" s="2">
        <v>19850.0</v>
      </c>
      <c r="O85" s="2">
        <v>25800.0</v>
      </c>
      <c r="P85" s="5">
        <v>41989.0</v>
      </c>
      <c r="Q85" s="3" t="s">
        <v>42</v>
      </c>
    </row>
    <row r="86" ht="22.5" customHeight="1">
      <c r="A86" s="2">
        <v>2013.0</v>
      </c>
      <c r="B86" s="3" t="s">
        <v>182</v>
      </c>
      <c r="C86" s="3" t="s">
        <v>183</v>
      </c>
      <c r="D86" s="4" t="s">
        <v>194</v>
      </c>
      <c r="E86" s="3" t="s">
        <v>20</v>
      </c>
      <c r="F86" s="3" t="s">
        <v>21</v>
      </c>
      <c r="G86" s="3" t="s">
        <v>227</v>
      </c>
      <c r="H86" s="4" t="s">
        <v>23</v>
      </c>
      <c r="I86" s="2">
        <v>1.0</v>
      </c>
      <c r="J86" s="2">
        <v>42798.0</v>
      </c>
      <c r="K86" s="3" t="s">
        <v>24</v>
      </c>
      <c r="L86" s="3" t="s">
        <v>24</v>
      </c>
      <c r="M86" s="4" t="s">
        <v>228</v>
      </c>
      <c r="N86" s="2">
        <v>11100.0</v>
      </c>
      <c r="O86" s="2">
        <v>7600.0</v>
      </c>
      <c r="P86" s="5">
        <v>41989.0</v>
      </c>
      <c r="Q86" s="3" t="s">
        <v>42</v>
      </c>
    </row>
    <row r="87" ht="22.5" customHeight="1">
      <c r="A87" s="2">
        <v>2013.0</v>
      </c>
      <c r="B87" s="3" t="s">
        <v>182</v>
      </c>
      <c r="C87" s="3" t="s">
        <v>200</v>
      </c>
      <c r="D87" s="4" t="s">
        <v>34</v>
      </c>
      <c r="E87" s="3" t="s">
        <v>20</v>
      </c>
      <c r="F87" s="3" t="s">
        <v>21</v>
      </c>
      <c r="G87" s="3" t="s">
        <v>229</v>
      </c>
      <c r="H87" s="4" t="s">
        <v>23</v>
      </c>
      <c r="I87" s="2">
        <v>44.0</v>
      </c>
      <c r="J87" s="2">
        <v>16684.0</v>
      </c>
      <c r="K87" s="3" t="s">
        <v>32</v>
      </c>
      <c r="L87" s="3" t="s">
        <v>230</v>
      </c>
      <c r="M87" s="4" t="s">
        <v>193</v>
      </c>
      <c r="N87" s="2">
        <v>14900.0</v>
      </c>
      <c r="O87" s="2">
        <v>14800.0</v>
      </c>
      <c r="P87" s="5">
        <v>41989.0</v>
      </c>
      <c r="Q87" s="3" t="s">
        <v>42</v>
      </c>
    </row>
    <row r="88" ht="22.5" customHeight="1">
      <c r="A88" s="2">
        <v>2013.0</v>
      </c>
      <c r="B88" s="3" t="s">
        <v>182</v>
      </c>
      <c r="C88" s="3" t="s">
        <v>231</v>
      </c>
      <c r="D88" s="4" t="s">
        <v>194</v>
      </c>
      <c r="E88" s="3" t="s">
        <v>30</v>
      </c>
      <c r="F88" s="3" t="s">
        <v>21</v>
      </c>
      <c r="G88" s="3" t="s">
        <v>232</v>
      </c>
      <c r="H88" s="4" t="s">
        <v>23</v>
      </c>
      <c r="I88" s="2">
        <v>42.0</v>
      </c>
      <c r="J88" s="2">
        <v>19109.0</v>
      </c>
      <c r="K88" s="3" t="s">
        <v>139</v>
      </c>
      <c r="L88" s="3" t="s">
        <v>25</v>
      </c>
      <c r="M88" s="4" t="s">
        <v>193</v>
      </c>
      <c r="N88" s="2">
        <v>16450.0</v>
      </c>
      <c r="O88" s="2">
        <v>17500.0</v>
      </c>
      <c r="P88" s="5">
        <v>41989.0</v>
      </c>
      <c r="Q88" s="3" t="s">
        <v>42</v>
      </c>
    </row>
    <row r="89" ht="22.5" customHeight="1">
      <c r="A89" s="2">
        <v>2013.0</v>
      </c>
      <c r="B89" s="3" t="s">
        <v>182</v>
      </c>
      <c r="C89" s="3" t="s">
        <v>183</v>
      </c>
      <c r="D89" s="4" t="s">
        <v>187</v>
      </c>
      <c r="E89" s="3" t="s">
        <v>20</v>
      </c>
      <c r="F89" s="3" t="s">
        <v>21</v>
      </c>
      <c r="G89" s="3" t="s">
        <v>233</v>
      </c>
      <c r="H89" s="4" t="s">
        <v>23</v>
      </c>
      <c r="I89" s="2">
        <v>48.0</v>
      </c>
      <c r="J89" s="2">
        <v>10564.0</v>
      </c>
      <c r="K89" s="3" t="s">
        <v>25</v>
      </c>
      <c r="L89" s="3" t="s">
        <v>24</v>
      </c>
      <c r="M89" s="4" t="s">
        <v>193</v>
      </c>
      <c r="N89" s="2">
        <v>15350.0</v>
      </c>
      <c r="O89" s="2">
        <v>16500.0</v>
      </c>
      <c r="P89" s="5">
        <v>41989.0</v>
      </c>
      <c r="Q89" s="3" t="s">
        <v>42</v>
      </c>
    </row>
    <row r="90" ht="22.5" customHeight="1">
      <c r="A90" s="2">
        <v>2013.0</v>
      </c>
      <c r="B90" s="3" t="s">
        <v>182</v>
      </c>
      <c r="C90" s="3" t="s">
        <v>224</v>
      </c>
      <c r="D90" s="4" t="s">
        <v>34</v>
      </c>
      <c r="E90" s="3" t="s">
        <v>20</v>
      </c>
      <c r="F90" s="3" t="s">
        <v>21</v>
      </c>
      <c r="G90" s="3" t="s">
        <v>234</v>
      </c>
      <c r="H90" s="4" t="s">
        <v>23</v>
      </c>
      <c r="I90" s="2">
        <v>47.0</v>
      </c>
      <c r="J90" s="2">
        <v>16132.0</v>
      </c>
      <c r="K90" s="3" t="s">
        <v>25</v>
      </c>
      <c r="L90" s="3" t="s">
        <v>25</v>
      </c>
      <c r="M90" s="4" t="s">
        <v>193</v>
      </c>
      <c r="N90" s="2">
        <v>21200.0</v>
      </c>
      <c r="O90" s="2">
        <v>21400.0</v>
      </c>
      <c r="P90" s="5">
        <v>41989.0</v>
      </c>
      <c r="Q90" s="3" t="s">
        <v>42</v>
      </c>
    </row>
    <row r="91" ht="22.5" customHeight="1">
      <c r="A91" s="2">
        <v>2013.0</v>
      </c>
      <c r="B91" s="3" t="s">
        <v>182</v>
      </c>
      <c r="C91" s="3" t="s">
        <v>200</v>
      </c>
      <c r="D91" s="4" t="s">
        <v>187</v>
      </c>
      <c r="E91" s="3" t="s">
        <v>20</v>
      </c>
      <c r="F91" s="3" t="s">
        <v>21</v>
      </c>
      <c r="G91" s="3" t="s">
        <v>235</v>
      </c>
      <c r="H91" s="4" t="s">
        <v>23</v>
      </c>
      <c r="I91" s="2">
        <v>42.0</v>
      </c>
      <c r="J91" s="2">
        <v>17831.0</v>
      </c>
      <c r="K91" s="3" t="s">
        <v>32</v>
      </c>
      <c r="L91" s="3" t="s">
        <v>181</v>
      </c>
      <c r="M91" s="4" t="s">
        <v>193</v>
      </c>
      <c r="N91" s="2">
        <v>17750.0</v>
      </c>
      <c r="O91" s="2">
        <v>18200.0</v>
      </c>
      <c r="P91" s="5">
        <v>41989.0</v>
      </c>
      <c r="Q91" s="3" t="s">
        <v>42</v>
      </c>
    </row>
    <row r="92" ht="22.5" customHeight="1">
      <c r="A92" s="2">
        <v>2013.0</v>
      </c>
      <c r="B92" s="3" t="s">
        <v>182</v>
      </c>
      <c r="C92" s="3" t="s">
        <v>224</v>
      </c>
      <c r="D92" s="4" t="s">
        <v>34</v>
      </c>
      <c r="E92" s="3" t="s">
        <v>20</v>
      </c>
      <c r="F92" s="3" t="s">
        <v>21</v>
      </c>
      <c r="G92" s="3" t="s">
        <v>236</v>
      </c>
      <c r="H92" s="4" t="s">
        <v>23</v>
      </c>
      <c r="I92" s="2">
        <v>43.0</v>
      </c>
      <c r="J92" s="2">
        <v>19152.0</v>
      </c>
      <c r="K92" s="3" t="s">
        <v>36</v>
      </c>
      <c r="L92" s="3" t="s">
        <v>181</v>
      </c>
      <c r="M92" s="4" t="s">
        <v>193</v>
      </c>
      <c r="N92" s="2">
        <v>21000.0</v>
      </c>
      <c r="O92" s="2">
        <v>22200.0</v>
      </c>
      <c r="P92" s="5">
        <v>41989.0</v>
      </c>
      <c r="Q92" s="3" t="s">
        <v>42</v>
      </c>
    </row>
    <row r="93" ht="22.5" customHeight="1">
      <c r="A93" s="2">
        <v>2013.0</v>
      </c>
      <c r="B93" s="3" t="s">
        <v>182</v>
      </c>
      <c r="C93" s="3" t="s">
        <v>190</v>
      </c>
      <c r="D93" s="4" t="s">
        <v>191</v>
      </c>
      <c r="E93" s="3" t="s">
        <v>20</v>
      </c>
      <c r="F93" s="3" t="s">
        <v>21</v>
      </c>
      <c r="G93" s="3" t="s">
        <v>237</v>
      </c>
      <c r="H93" s="4" t="s">
        <v>23</v>
      </c>
      <c r="I93" s="2">
        <v>39.0</v>
      </c>
      <c r="J93" s="2">
        <v>12154.0</v>
      </c>
      <c r="K93" s="3" t="s">
        <v>32</v>
      </c>
      <c r="L93" s="3" t="s">
        <v>25</v>
      </c>
      <c r="M93" s="4" t="s">
        <v>193</v>
      </c>
      <c r="N93" s="2">
        <v>27900.0</v>
      </c>
      <c r="O93" s="2">
        <v>27500.0</v>
      </c>
      <c r="P93" s="5">
        <v>41989.0</v>
      </c>
      <c r="Q93" s="3" t="s">
        <v>42</v>
      </c>
    </row>
    <row r="94" ht="22.5" customHeight="1">
      <c r="A94" s="2">
        <v>2013.0</v>
      </c>
      <c r="B94" s="3" t="s">
        <v>182</v>
      </c>
      <c r="C94" s="3" t="s">
        <v>238</v>
      </c>
      <c r="D94" s="4" t="s">
        <v>239</v>
      </c>
      <c r="E94" s="3" t="s">
        <v>20</v>
      </c>
      <c r="F94" s="3" t="s">
        <v>21</v>
      </c>
      <c r="G94" s="3" t="s">
        <v>240</v>
      </c>
      <c r="H94" s="4" t="s">
        <v>23</v>
      </c>
      <c r="I94" s="2">
        <v>43.0</v>
      </c>
      <c r="J94" s="2">
        <v>11566.0</v>
      </c>
      <c r="K94" s="3" t="s">
        <v>32</v>
      </c>
      <c r="L94" s="3" t="s">
        <v>181</v>
      </c>
      <c r="M94" s="4" t="s">
        <v>189</v>
      </c>
      <c r="N94" s="2">
        <v>36800.0</v>
      </c>
      <c r="O94" s="2">
        <v>25000.0</v>
      </c>
      <c r="P94" s="5">
        <v>41989.0</v>
      </c>
      <c r="Q94" s="3" t="s">
        <v>42</v>
      </c>
    </row>
    <row r="95" ht="22.5" customHeight="1">
      <c r="A95" s="2">
        <v>2013.0</v>
      </c>
      <c r="B95" s="3" t="s">
        <v>182</v>
      </c>
      <c r="C95" s="3" t="s">
        <v>183</v>
      </c>
      <c r="D95" s="4" t="s">
        <v>194</v>
      </c>
      <c r="E95" s="3" t="s">
        <v>20</v>
      </c>
      <c r="F95" s="3" t="s">
        <v>21</v>
      </c>
      <c r="G95" s="3" t="s">
        <v>241</v>
      </c>
      <c r="H95" s="4" t="s">
        <v>23</v>
      </c>
      <c r="I95" s="2">
        <v>2.0</v>
      </c>
      <c r="J95" s="2">
        <v>29006.0</v>
      </c>
      <c r="K95" s="3" t="s">
        <v>24</v>
      </c>
      <c r="L95" s="3" t="s">
        <v>24</v>
      </c>
      <c r="M95" s="4" t="s">
        <v>63</v>
      </c>
      <c r="N95" s="2">
        <v>11900.0</v>
      </c>
      <c r="O95" s="2">
        <v>8700.0</v>
      </c>
      <c r="P95" s="5">
        <v>41989.0</v>
      </c>
      <c r="Q95" s="3" t="s">
        <v>42</v>
      </c>
    </row>
    <row r="96" ht="22.5" customHeight="1">
      <c r="A96" s="2">
        <v>2013.0</v>
      </c>
      <c r="B96" s="3" t="s">
        <v>182</v>
      </c>
      <c r="C96" s="3" t="s">
        <v>183</v>
      </c>
      <c r="D96" s="4" t="s">
        <v>194</v>
      </c>
      <c r="E96" s="3" t="s">
        <v>20</v>
      </c>
      <c r="F96" s="3" t="s">
        <v>21</v>
      </c>
      <c r="G96" s="3" t="s">
        <v>242</v>
      </c>
      <c r="H96" s="4" t="s">
        <v>23</v>
      </c>
      <c r="I96" s="2">
        <v>48.0</v>
      </c>
      <c r="J96" s="2">
        <v>8559.0</v>
      </c>
      <c r="K96" s="3" t="s">
        <v>139</v>
      </c>
      <c r="L96" s="3" t="s">
        <v>181</v>
      </c>
      <c r="M96" s="4" t="s">
        <v>189</v>
      </c>
      <c r="N96" s="2">
        <v>13150.0</v>
      </c>
      <c r="O96" s="2">
        <v>10800.0</v>
      </c>
      <c r="P96" s="5">
        <v>41989.0</v>
      </c>
      <c r="Q96" s="3" t="s">
        <v>42</v>
      </c>
    </row>
    <row r="97" ht="22.5" customHeight="1">
      <c r="A97" s="2">
        <v>2013.0</v>
      </c>
      <c r="B97" s="3" t="s">
        <v>182</v>
      </c>
      <c r="C97" s="3" t="s">
        <v>213</v>
      </c>
      <c r="D97" s="4" t="s">
        <v>214</v>
      </c>
      <c r="E97" s="3" t="s">
        <v>215</v>
      </c>
      <c r="F97" s="3" t="s">
        <v>21</v>
      </c>
      <c r="G97" s="3" t="s">
        <v>243</v>
      </c>
      <c r="H97" s="4" t="s">
        <v>23</v>
      </c>
      <c r="I97" s="2">
        <v>42.0</v>
      </c>
      <c r="J97" s="2">
        <v>8467.0</v>
      </c>
      <c r="K97" s="3" t="s">
        <v>25</v>
      </c>
      <c r="L97" s="3" t="s">
        <v>25</v>
      </c>
      <c r="M97" s="4" t="s">
        <v>193</v>
      </c>
      <c r="N97" s="2">
        <v>15050.0</v>
      </c>
      <c r="O97" s="2">
        <v>16300.0</v>
      </c>
      <c r="P97" s="5">
        <v>41989.0</v>
      </c>
      <c r="Q97" s="3" t="s">
        <v>42</v>
      </c>
    </row>
    <row r="98" ht="22.5" customHeight="1">
      <c r="A98" s="2">
        <v>2013.0</v>
      </c>
      <c r="B98" s="3" t="s">
        <v>182</v>
      </c>
      <c r="C98" s="3" t="s">
        <v>200</v>
      </c>
      <c r="D98" s="4" t="s">
        <v>34</v>
      </c>
      <c r="E98" s="3" t="s">
        <v>20</v>
      </c>
      <c r="F98" s="3" t="s">
        <v>21</v>
      </c>
      <c r="G98" s="3" t="s">
        <v>244</v>
      </c>
      <c r="H98" s="4" t="s">
        <v>23</v>
      </c>
      <c r="I98" s="2">
        <v>44.0</v>
      </c>
      <c r="J98" s="2">
        <v>9539.0</v>
      </c>
      <c r="K98" s="3" t="s">
        <v>36</v>
      </c>
      <c r="L98" s="3" t="s">
        <v>24</v>
      </c>
      <c r="M98" s="4" t="s">
        <v>193</v>
      </c>
      <c r="N98" s="2">
        <v>15450.0</v>
      </c>
      <c r="O98" s="2">
        <v>14900.0</v>
      </c>
      <c r="P98" s="5">
        <v>41989.0</v>
      </c>
      <c r="Q98" s="3" t="s">
        <v>42</v>
      </c>
    </row>
    <row r="99" ht="22.5" customHeight="1">
      <c r="A99" s="2">
        <v>2013.0</v>
      </c>
      <c r="B99" s="3" t="s">
        <v>182</v>
      </c>
      <c r="C99" s="3" t="s">
        <v>210</v>
      </c>
      <c r="D99" s="4" t="s">
        <v>194</v>
      </c>
      <c r="E99" s="3" t="s">
        <v>20</v>
      </c>
      <c r="F99" s="3" t="s">
        <v>21</v>
      </c>
      <c r="G99" s="3" t="s">
        <v>245</v>
      </c>
      <c r="H99" s="4" t="s">
        <v>23</v>
      </c>
      <c r="I99" s="2">
        <v>2.0</v>
      </c>
      <c r="J99" s="2">
        <v>44135.0</v>
      </c>
      <c r="K99" s="3" t="s">
        <v>24</v>
      </c>
      <c r="L99" s="3" t="s">
        <v>24</v>
      </c>
      <c r="M99" s="4" t="s">
        <v>228</v>
      </c>
      <c r="N99" s="2">
        <v>11650.0</v>
      </c>
      <c r="O99" s="2">
        <v>8400.0</v>
      </c>
      <c r="P99" s="5">
        <v>41989.0</v>
      </c>
      <c r="Q99" s="3" t="s">
        <v>42</v>
      </c>
    </row>
    <row r="100" ht="22.5" customHeight="1">
      <c r="A100" s="2">
        <v>2013.0</v>
      </c>
      <c r="B100" s="3" t="s">
        <v>182</v>
      </c>
      <c r="C100" s="3" t="s">
        <v>224</v>
      </c>
      <c r="D100" s="4" t="s">
        <v>34</v>
      </c>
      <c r="E100" s="3" t="s">
        <v>20</v>
      </c>
      <c r="F100" s="3" t="s">
        <v>21</v>
      </c>
      <c r="G100" s="3" t="s">
        <v>246</v>
      </c>
      <c r="H100" s="4" t="s">
        <v>23</v>
      </c>
      <c r="I100" s="2">
        <v>36.0</v>
      </c>
      <c r="J100" s="2">
        <v>6552.0</v>
      </c>
      <c r="K100" s="3" t="s">
        <v>25</v>
      </c>
      <c r="L100" s="3" t="s">
        <v>25</v>
      </c>
      <c r="M100" s="4" t="s">
        <v>193</v>
      </c>
      <c r="N100" s="2">
        <v>21800.0</v>
      </c>
      <c r="O100" s="2">
        <v>21400.0</v>
      </c>
      <c r="P100" s="5">
        <v>41989.0</v>
      </c>
      <c r="Q100" s="3" t="s">
        <v>42</v>
      </c>
    </row>
    <row r="101" ht="22.5" customHeight="1">
      <c r="A101" s="2">
        <v>2013.0</v>
      </c>
      <c r="B101" s="3" t="s">
        <v>182</v>
      </c>
      <c r="C101" s="3" t="s">
        <v>200</v>
      </c>
      <c r="D101" s="4" t="s">
        <v>187</v>
      </c>
      <c r="E101" s="3" t="s">
        <v>20</v>
      </c>
      <c r="F101" s="3" t="s">
        <v>21</v>
      </c>
      <c r="G101" s="3" t="s">
        <v>247</v>
      </c>
      <c r="H101" s="4" t="s">
        <v>23</v>
      </c>
      <c r="I101" s="2">
        <v>43.0</v>
      </c>
      <c r="J101" s="2">
        <v>22143.0</v>
      </c>
      <c r="K101" s="3" t="s">
        <v>139</v>
      </c>
      <c r="L101" s="3" t="s">
        <v>181</v>
      </c>
      <c r="M101" s="4" t="s">
        <v>193</v>
      </c>
      <c r="N101" s="2">
        <v>17150.0</v>
      </c>
      <c r="O101" s="2">
        <v>17100.0</v>
      </c>
      <c r="P101" s="5">
        <v>41989.0</v>
      </c>
      <c r="Q101" s="3" t="s">
        <v>42</v>
      </c>
    </row>
    <row r="102" ht="22.5" customHeight="1">
      <c r="A102" s="2">
        <v>2013.0</v>
      </c>
      <c r="B102" s="3" t="s">
        <v>182</v>
      </c>
      <c r="C102" s="3" t="s">
        <v>220</v>
      </c>
      <c r="D102" s="4" t="s">
        <v>194</v>
      </c>
      <c r="E102" s="3" t="s">
        <v>20</v>
      </c>
      <c r="F102" s="3" t="s">
        <v>21</v>
      </c>
      <c r="G102" s="3" t="s">
        <v>248</v>
      </c>
      <c r="H102" s="4" t="s">
        <v>23</v>
      </c>
      <c r="I102" s="2">
        <v>2.0</v>
      </c>
      <c r="J102" s="2">
        <v>33078.0</v>
      </c>
      <c r="K102" s="3" t="s">
        <v>32</v>
      </c>
      <c r="L102" s="3" t="s">
        <v>181</v>
      </c>
      <c r="M102" s="4" t="s">
        <v>63</v>
      </c>
      <c r="N102" s="2">
        <v>9675.0</v>
      </c>
      <c r="O102" s="2">
        <v>7800.0</v>
      </c>
      <c r="P102" s="5">
        <v>41989.0</v>
      </c>
      <c r="Q102" s="3" t="s">
        <v>42</v>
      </c>
    </row>
    <row r="103" ht="22.5" customHeight="1">
      <c r="A103" s="2">
        <v>2013.0</v>
      </c>
      <c r="B103" s="3" t="s">
        <v>182</v>
      </c>
      <c r="C103" s="3" t="s">
        <v>220</v>
      </c>
      <c r="D103" s="4" t="s">
        <v>178</v>
      </c>
      <c r="E103" s="3" t="s">
        <v>215</v>
      </c>
      <c r="F103" s="3" t="s">
        <v>21</v>
      </c>
      <c r="G103" s="3" t="s">
        <v>249</v>
      </c>
      <c r="H103" s="4" t="s">
        <v>23</v>
      </c>
      <c r="I103" s="2">
        <v>49.0</v>
      </c>
      <c r="J103" s="2">
        <v>6747.0</v>
      </c>
      <c r="K103" s="3" t="s">
        <v>24</v>
      </c>
      <c r="L103" s="3" t="s">
        <v>25</v>
      </c>
      <c r="M103" s="4" t="s">
        <v>193</v>
      </c>
      <c r="N103" s="2">
        <v>11300.0</v>
      </c>
      <c r="O103" s="2">
        <v>11900.0</v>
      </c>
      <c r="P103" s="5">
        <v>41989.0</v>
      </c>
      <c r="Q103" s="3" t="s">
        <v>42</v>
      </c>
    </row>
    <row r="104" ht="22.5" customHeight="1">
      <c r="A104" s="2">
        <v>2013.0</v>
      </c>
      <c r="B104" s="3" t="s">
        <v>182</v>
      </c>
      <c r="C104" s="3" t="s">
        <v>190</v>
      </c>
      <c r="D104" s="4">
        <v>3.8</v>
      </c>
      <c r="E104" s="3" t="s">
        <v>20</v>
      </c>
      <c r="F104" s="3" t="s">
        <v>21</v>
      </c>
      <c r="G104" s="3" t="s">
        <v>250</v>
      </c>
      <c r="H104" s="4" t="s">
        <v>23</v>
      </c>
      <c r="I104" s="2">
        <v>46.0</v>
      </c>
      <c r="J104" s="2">
        <v>20952.0</v>
      </c>
      <c r="K104" s="3" t="s">
        <v>36</v>
      </c>
      <c r="L104" s="3" t="s">
        <v>25</v>
      </c>
      <c r="M104" s="4" t="s">
        <v>193</v>
      </c>
      <c r="N104" s="2">
        <v>18650.0</v>
      </c>
      <c r="O104" s="2">
        <v>22200.0</v>
      </c>
      <c r="P104" s="5">
        <v>41989.0</v>
      </c>
      <c r="Q104" s="3" t="s">
        <v>42</v>
      </c>
    </row>
    <row r="105" ht="22.5" customHeight="1">
      <c r="A105" s="2">
        <v>2013.0</v>
      </c>
      <c r="B105" s="3" t="s">
        <v>182</v>
      </c>
      <c r="C105" s="3" t="s">
        <v>186</v>
      </c>
      <c r="D105" s="4" t="s">
        <v>208</v>
      </c>
      <c r="E105" s="3" t="s">
        <v>30</v>
      </c>
      <c r="F105" s="3" t="s">
        <v>21</v>
      </c>
      <c r="G105" s="3" t="s">
        <v>251</v>
      </c>
      <c r="H105" s="4" t="s">
        <v>23</v>
      </c>
      <c r="I105" s="2">
        <v>46.0</v>
      </c>
      <c r="J105" s="2">
        <v>15758.0</v>
      </c>
      <c r="K105" s="3" t="s">
        <v>24</v>
      </c>
      <c r="L105" s="3" t="s">
        <v>25</v>
      </c>
      <c r="M105" s="4" t="s">
        <v>193</v>
      </c>
      <c r="N105" s="2">
        <v>21600.0</v>
      </c>
      <c r="O105" s="2">
        <v>21400.0</v>
      </c>
      <c r="P105" s="5">
        <v>41989.0</v>
      </c>
      <c r="Q105" s="3" t="s">
        <v>42</v>
      </c>
    </row>
    <row r="106" ht="22.5" customHeight="1">
      <c r="A106" s="2">
        <v>2013.0</v>
      </c>
      <c r="B106" s="3" t="s">
        <v>182</v>
      </c>
      <c r="C106" s="3" t="s">
        <v>183</v>
      </c>
      <c r="D106" s="4" t="s">
        <v>194</v>
      </c>
      <c r="E106" s="3" t="s">
        <v>20</v>
      </c>
      <c r="F106" s="3" t="s">
        <v>21</v>
      </c>
      <c r="G106" s="3" t="s">
        <v>252</v>
      </c>
      <c r="H106" s="4" t="s">
        <v>23</v>
      </c>
      <c r="I106" s="2">
        <v>24.0</v>
      </c>
      <c r="J106" s="2">
        <v>35963.0</v>
      </c>
      <c r="K106" s="3" t="s">
        <v>25</v>
      </c>
      <c r="L106" s="3" t="s">
        <v>24</v>
      </c>
      <c r="M106" s="4" t="s">
        <v>196</v>
      </c>
      <c r="N106" s="2">
        <v>11500.0</v>
      </c>
      <c r="O106" s="2">
        <v>11500.0</v>
      </c>
      <c r="P106" s="5">
        <v>41989.0</v>
      </c>
      <c r="Q106" s="3" t="s">
        <v>42</v>
      </c>
    </row>
    <row r="107" ht="22.5" customHeight="1">
      <c r="A107" s="2">
        <v>2013.0</v>
      </c>
      <c r="B107" s="3" t="s">
        <v>182</v>
      </c>
      <c r="C107" s="3" t="s">
        <v>190</v>
      </c>
      <c r="D107" s="4">
        <v>3.8</v>
      </c>
      <c r="E107" s="3" t="s">
        <v>20</v>
      </c>
      <c r="F107" s="3" t="s">
        <v>21</v>
      </c>
      <c r="G107" s="3" t="s">
        <v>253</v>
      </c>
      <c r="H107" s="4" t="s">
        <v>23</v>
      </c>
      <c r="I107" s="2">
        <v>3.0</v>
      </c>
      <c r="J107" s="2">
        <v>19893.0</v>
      </c>
      <c r="K107" s="3" t="s">
        <v>32</v>
      </c>
      <c r="L107" s="3" t="s">
        <v>181</v>
      </c>
      <c r="M107" s="4" t="s">
        <v>254</v>
      </c>
      <c r="N107" s="2">
        <v>18800.0</v>
      </c>
      <c r="O107" s="2">
        <v>22500.0</v>
      </c>
      <c r="P107" s="5">
        <v>41989.0</v>
      </c>
      <c r="Q107" s="3" t="s">
        <v>42</v>
      </c>
    </row>
    <row r="108" ht="22.5" customHeight="1">
      <c r="A108" s="2">
        <v>2013.0</v>
      </c>
      <c r="B108" s="3" t="s">
        <v>182</v>
      </c>
      <c r="C108" s="3" t="s">
        <v>183</v>
      </c>
      <c r="D108" s="4" t="s">
        <v>194</v>
      </c>
      <c r="E108" s="3" t="s">
        <v>20</v>
      </c>
      <c r="F108" s="3" t="s">
        <v>21</v>
      </c>
      <c r="G108" s="3" t="s">
        <v>255</v>
      </c>
      <c r="H108" s="4" t="s">
        <v>23</v>
      </c>
      <c r="I108" s="2">
        <v>44.0</v>
      </c>
      <c r="J108" s="2">
        <v>19035.0</v>
      </c>
      <c r="K108" s="3" t="s">
        <v>24</v>
      </c>
      <c r="L108" s="3" t="s">
        <v>24</v>
      </c>
      <c r="M108" s="4" t="s">
        <v>193</v>
      </c>
      <c r="N108" s="2">
        <v>12500.0</v>
      </c>
      <c r="O108" s="2">
        <v>12600.0</v>
      </c>
      <c r="P108" s="5">
        <v>41989.0</v>
      </c>
      <c r="Q108" s="3" t="s">
        <v>42</v>
      </c>
    </row>
    <row r="109" ht="22.5" customHeight="1">
      <c r="A109" s="2">
        <v>2013.0</v>
      </c>
      <c r="B109" s="3" t="s">
        <v>182</v>
      </c>
      <c r="C109" s="3" t="s">
        <v>186</v>
      </c>
      <c r="D109" s="4" t="s">
        <v>208</v>
      </c>
      <c r="E109" s="3" t="s">
        <v>30</v>
      </c>
      <c r="F109" s="3" t="s">
        <v>21</v>
      </c>
      <c r="G109" s="3" t="s">
        <v>256</v>
      </c>
      <c r="H109" s="4" t="s">
        <v>23</v>
      </c>
      <c r="I109" s="2">
        <v>45.0</v>
      </c>
      <c r="J109" s="2">
        <v>14076.0</v>
      </c>
      <c r="K109" s="3" t="s">
        <v>24</v>
      </c>
      <c r="L109" s="3" t="s">
        <v>25</v>
      </c>
      <c r="M109" s="4" t="s">
        <v>193</v>
      </c>
      <c r="N109" s="2">
        <v>19800.0</v>
      </c>
      <c r="O109" s="2">
        <v>25500.0</v>
      </c>
      <c r="P109" s="5">
        <v>41989.0</v>
      </c>
      <c r="Q109" s="3" t="s">
        <v>42</v>
      </c>
    </row>
    <row r="110" ht="22.5" customHeight="1">
      <c r="A110" s="2">
        <v>2013.0</v>
      </c>
      <c r="B110" s="3" t="s">
        <v>182</v>
      </c>
      <c r="C110" s="3" t="s">
        <v>220</v>
      </c>
      <c r="D110" s="4" t="s">
        <v>178</v>
      </c>
      <c r="E110" s="3" t="s">
        <v>215</v>
      </c>
      <c r="F110" s="3" t="s">
        <v>21</v>
      </c>
      <c r="G110" s="3" t="s">
        <v>257</v>
      </c>
      <c r="H110" s="4" t="s">
        <v>23</v>
      </c>
      <c r="I110" s="2">
        <v>46.0</v>
      </c>
      <c r="J110" s="2">
        <v>27387.0</v>
      </c>
      <c r="K110" s="3" t="s">
        <v>36</v>
      </c>
      <c r="L110" s="3" t="s">
        <v>25</v>
      </c>
      <c r="M110" s="4" t="s">
        <v>193</v>
      </c>
      <c r="N110" s="2">
        <v>9950.0</v>
      </c>
      <c r="O110" s="2">
        <v>11400.0</v>
      </c>
      <c r="P110" s="5">
        <v>41989.0</v>
      </c>
      <c r="Q110" s="3" t="s">
        <v>42</v>
      </c>
    </row>
    <row r="111" ht="22.5" customHeight="1">
      <c r="A111" s="2">
        <v>2013.0</v>
      </c>
      <c r="B111" s="3" t="s">
        <v>182</v>
      </c>
      <c r="C111" s="3" t="s">
        <v>200</v>
      </c>
      <c r="D111" s="4" t="s">
        <v>34</v>
      </c>
      <c r="E111" s="3" t="s">
        <v>20</v>
      </c>
      <c r="F111" s="3" t="s">
        <v>21</v>
      </c>
      <c r="G111" s="3" t="s">
        <v>258</v>
      </c>
      <c r="H111" s="4" t="s">
        <v>23</v>
      </c>
      <c r="I111" s="2">
        <v>49.0</v>
      </c>
      <c r="J111" s="2">
        <v>8495.0</v>
      </c>
      <c r="K111" s="3" t="s">
        <v>32</v>
      </c>
      <c r="L111" s="3" t="s">
        <v>181</v>
      </c>
      <c r="M111" s="4" t="s">
        <v>193</v>
      </c>
      <c r="N111" s="2">
        <v>15500.0</v>
      </c>
      <c r="O111" s="2">
        <v>16100.0</v>
      </c>
      <c r="P111" s="5">
        <v>41989.0</v>
      </c>
      <c r="Q111" s="3" t="s">
        <v>42</v>
      </c>
    </row>
    <row r="112" ht="22.5" customHeight="1">
      <c r="A112" s="2">
        <v>2013.0</v>
      </c>
      <c r="B112" s="3" t="s">
        <v>182</v>
      </c>
      <c r="C112" s="3" t="s">
        <v>210</v>
      </c>
      <c r="D112" s="4" t="s">
        <v>194</v>
      </c>
      <c r="E112" s="3" t="s">
        <v>20</v>
      </c>
      <c r="F112" s="3" t="s">
        <v>21</v>
      </c>
      <c r="G112" s="3" t="s">
        <v>259</v>
      </c>
      <c r="H112" s="4" t="s">
        <v>23</v>
      </c>
      <c r="I112" s="2">
        <v>43.0</v>
      </c>
      <c r="J112" s="2">
        <v>22033.0</v>
      </c>
      <c r="K112" s="3" t="s">
        <v>36</v>
      </c>
      <c r="L112" s="3" t="s">
        <v>24</v>
      </c>
      <c r="M112" s="4" t="s">
        <v>196</v>
      </c>
      <c r="N112" s="2">
        <v>13050.0</v>
      </c>
      <c r="O112" s="2">
        <v>13700.0</v>
      </c>
      <c r="P112" s="5">
        <v>41989.0</v>
      </c>
      <c r="Q112" s="3" t="s">
        <v>42</v>
      </c>
    </row>
    <row r="113" ht="22.5" customHeight="1">
      <c r="A113" s="2">
        <v>2013.0</v>
      </c>
      <c r="B113" s="3" t="s">
        <v>182</v>
      </c>
      <c r="C113" s="3" t="s">
        <v>213</v>
      </c>
      <c r="D113" s="4" t="s">
        <v>34</v>
      </c>
      <c r="E113" s="3" t="s">
        <v>215</v>
      </c>
      <c r="F113" s="3" t="s">
        <v>21</v>
      </c>
      <c r="G113" s="3" t="s">
        <v>260</v>
      </c>
      <c r="H113" s="4" t="s">
        <v>23</v>
      </c>
      <c r="I113" s="2">
        <v>48.0</v>
      </c>
      <c r="J113" s="2">
        <v>27532.0</v>
      </c>
      <c r="K113" s="3" t="s">
        <v>261</v>
      </c>
      <c r="L113" s="3" t="s">
        <v>25</v>
      </c>
      <c r="M113" s="4" t="s">
        <v>189</v>
      </c>
      <c r="N113" s="2">
        <v>13100.0</v>
      </c>
      <c r="O113" s="2">
        <v>11300.0</v>
      </c>
      <c r="P113" s="5">
        <v>41989.0</v>
      </c>
      <c r="Q113" s="3" t="s">
        <v>42</v>
      </c>
    </row>
    <row r="114" ht="22.5" customHeight="1">
      <c r="A114" s="2">
        <v>2013.0</v>
      </c>
      <c r="B114" s="3" t="s">
        <v>182</v>
      </c>
      <c r="C114" s="3" t="s">
        <v>183</v>
      </c>
      <c r="D114" s="4" t="s">
        <v>194</v>
      </c>
      <c r="E114" s="3" t="s">
        <v>20</v>
      </c>
      <c r="F114" s="3" t="s">
        <v>21</v>
      </c>
      <c r="G114" s="3" t="s">
        <v>262</v>
      </c>
      <c r="H114" s="4" t="s">
        <v>23</v>
      </c>
      <c r="I114" s="2">
        <v>2.0</v>
      </c>
      <c r="J114" s="2">
        <v>33158.0</v>
      </c>
      <c r="K114" s="3" t="s">
        <v>24</v>
      </c>
      <c r="L114" s="3" t="s">
        <v>181</v>
      </c>
      <c r="M114" s="4" t="s">
        <v>63</v>
      </c>
      <c r="N114" s="2">
        <v>11650.0</v>
      </c>
      <c r="O114" s="2">
        <v>9400.0</v>
      </c>
      <c r="P114" s="5">
        <v>41989.0</v>
      </c>
      <c r="Q114" s="3" t="s">
        <v>42</v>
      </c>
    </row>
    <row r="115" ht="22.5" customHeight="1">
      <c r="A115" s="2">
        <v>2013.0</v>
      </c>
      <c r="B115" s="3" t="s">
        <v>182</v>
      </c>
      <c r="C115" s="3" t="s">
        <v>210</v>
      </c>
      <c r="D115" s="4" t="s">
        <v>194</v>
      </c>
      <c r="E115" s="3" t="s">
        <v>20</v>
      </c>
      <c r="F115" s="3" t="s">
        <v>21</v>
      </c>
      <c r="G115" s="3" t="s">
        <v>263</v>
      </c>
      <c r="H115" s="4" t="s">
        <v>23</v>
      </c>
      <c r="I115" s="2">
        <v>2.0</v>
      </c>
      <c r="J115" s="2">
        <v>35518.0</v>
      </c>
      <c r="K115" s="3" t="s">
        <v>139</v>
      </c>
      <c r="L115" s="3" t="s">
        <v>181</v>
      </c>
      <c r="M115" s="4" t="s">
        <v>63</v>
      </c>
      <c r="N115" s="2">
        <v>12200.0</v>
      </c>
      <c r="O115" s="2">
        <v>10700.0</v>
      </c>
      <c r="P115" s="5">
        <v>41989.0</v>
      </c>
      <c r="Q115" s="3" t="s">
        <v>42</v>
      </c>
    </row>
    <row r="116" ht="22.5" customHeight="1">
      <c r="A116" s="2">
        <v>2013.0</v>
      </c>
      <c r="B116" s="3" t="s">
        <v>182</v>
      </c>
      <c r="C116" s="3" t="s">
        <v>186</v>
      </c>
      <c r="D116" s="4" t="s">
        <v>187</v>
      </c>
      <c r="E116" s="3" t="s">
        <v>30</v>
      </c>
      <c r="F116" s="3" t="s">
        <v>21</v>
      </c>
      <c r="G116" s="3" t="s">
        <v>264</v>
      </c>
      <c r="H116" s="4" t="s">
        <v>23</v>
      </c>
      <c r="I116" s="2">
        <v>5.0</v>
      </c>
      <c r="J116" s="2">
        <v>15160.0</v>
      </c>
      <c r="K116" s="3" t="s">
        <v>167</v>
      </c>
      <c r="L116" s="3" t="s">
        <v>24</v>
      </c>
      <c r="M116" s="4" t="s">
        <v>189</v>
      </c>
      <c r="N116" s="2">
        <v>23100.0</v>
      </c>
      <c r="O116" s="2">
        <v>22200.0</v>
      </c>
      <c r="P116" s="5">
        <v>41989.0</v>
      </c>
      <c r="Q116" s="3" t="s">
        <v>42</v>
      </c>
    </row>
    <row r="117" ht="22.5" customHeight="1">
      <c r="A117" s="2">
        <v>2013.0</v>
      </c>
      <c r="B117" s="3" t="s">
        <v>182</v>
      </c>
      <c r="C117" s="3" t="s">
        <v>265</v>
      </c>
      <c r="D117" s="4" t="s">
        <v>266</v>
      </c>
      <c r="E117" s="3" t="s">
        <v>265</v>
      </c>
      <c r="F117" s="3" t="s">
        <v>21</v>
      </c>
      <c r="G117" s="3" t="s">
        <v>267</v>
      </c>
      <c r="H117" s="4" t="s">
        <v>23</v>
      </c>
      <c r="I117" s="2">
        <v>48.0</v>
      </c>
      <c r="J117" s="2">
        <v>12730.0</v>
      </c>
      <c r="K117" s="3" t="s">
        <v>139</v>
      </c>
      <c r="L117" s="3" t="s">
        <v>25</v>
      </c>
      <c r="M117" s="4" t="s">
        <v>193</v>
      </c>
      <c r="N117" s="2">
        <v>21400.0</v>
      </c>
      <c r="O117" s="2">
        <v>23000.0</v>
      </c>
      <c r="P117" s="5">
        <v>41989.0</v>
      </c>
      <c r="Q117" s="3" t="s">
        <v>42</v>
      </c>
    </row>
    <row r="118" ht="22.5" customHeight="1">
      <c r="A118" s="2">
        <v>2013.0</v>
      </c>
      <c r="B118" s="3" t="s">
        <v>182</v>
      </c>
      <c r="C118" s="3" t="s">
        <v>200</v>
      </c>
      <c r="D118" s="4" t="s">
        <v>187</v>
      </c>
      <c r="E118" s="3" t="s">
        <v>20</v>
      </c>
      <c r="F118" s="3" t="s">
        <v>21</v>
      </c>
      <c r="G118" s="3" t="s">
        <v>268</v>
      </c>
      <c r="H118" s="4" t="s">
        <v>23</v>
      </c>
      <c r="I118" s="2">
        <v>47.0</v>
      </c>
      <c r="J118" s="2">
        <v>11798.0</v>
      </c>
      <c r="K118" s="3" t="s">
        <v>25</v>
      </c>
      <c r="L118" s="3" t="s">
        <v>24</v>
      </c>
      <c r="M118" s="4" t="s">
        <v>193</v>
      </c>
      <c r="N118" s="2">
        <v>18650.0</v>
      </c>
      <c r="O118" s="2">
        <v>18400.0</v>
      </c>
      <c r="P118" s="5">
        <v>41989.0</v>
      </c>
      <c r="Q118" s="3" t="s">
        <v>42</v>
      </c>
    </row>
    <row r="119" ht="22.5" customHeight="1">
      <c r="A119" s="2">
        <v>2013.0</v>
      </c>
      <c r="B119" s="3" t="s">
        <v>182</v>
      </c>
      <c r="C119" s="3" t="s">
        <v>190</v>
      </c>
      <c r="D119" s="4" t="s">
        <v>191</v>
      </c>
      <c r="E119" s="3" t="s">
        <v>20</v>
      </c>
      <c r="F119" s="3" t="s">
        <v>21</v>
      </c>
      <c r="G119" s="3" t="s">
        <v>269</v>
      </c>
      <c r="H119" s="4" t="s">
        <v>23</v>
      </c>
      <c r="I119" s="2">
        <v>44.0</v>
      </c>
      <c r="J119" s="2">
        <v>35995.0</v>
      </c>
      <c r="K119" s="3" t="s">
        <v>36</v>
      </c>
      <c r="L119" s="3" t="s">
        <v>25</v>
      </c>
      <c r="M119" s="4" t="s">
        <v>193</v>
      </c>
      <c r="N119" s="2">
        <v>25900.0</v>
      </c>
      <c r="O119" s="2">
        <v>27200.0</v>
      </c>
      <c r="P119" s="5">
        <v>41989.0</v>
      </c>
      <c r="Q119" s="3" t="s">
        <v>42</v>
      </c>
    </row>
    <row r="120" ht="22.5" customHeight="1">
      <c r="A120" s="2">
        <v>2013.0</v>
      </c>
      <c r="B120" s="3" t="s">
        <v>182</v>
      </c>
      <c r="C120" s="3" t="s">
        <v>231</v>
      </c>
      <c r="D120" s="4" t="s">
        <v>187</v>
      </c>
      <c r="E120" s="3" t="s">
        <v>30</v>
      </c>
      <c r="F120" s="3" t="s">
        <v>21</v>
      </c>
      <c r="G120" s="3" t="s">
        <v>270</v>
      </c>
      <c r="H120" s="4" t="s">
        <v>23</v>
      </c>
      <c r="I120" s="2">
        <v>44.0</v>
      </c>
      <c r="J120" s="2">
        <v>32413.0</v>
      </c>
      <c r="K120" s="3" t="s">
        <v>32</v>
      </c>
      <c r="L120" s="3" t="s">
        <v>181</v>
      </c>
      <c r="M120" s="4" t="s">
        <v>193</v>
      </c>
      <c r="N120" s="2">
        <v>16150.0</v>
      </c>
      <c r="O120" s="2">
        <v>17500.0</v>
      </c>
      <c r="P120" s="5">
        <v>41989.0</v>
      </c>
      <c r="Q120" s="3" t="s">
        <v>42</v>
      </c>
    </row>
    <row r="121" ht="22.5" customHeight="1">
      <c r="A121" s="2">
        <v>2013.0</v>
      </c>
      <c r="B121" s="3" t="s">
        <v>182</v>
      </c>
      <c r="C121" s="3" t="s">
        <v>200</v>
      </c>
      <c r="D121" s="4" t="s">
        <v>187</v>
      </c>
      <c r="E121" s="3" t="s">
        <v>20</v>
      </c>
      <c r="F121" s="3" t="s">
        <v>21</v>
      </c>
      <c r="G121" s="3" t="s">
        <v>271</v>
      </c>
      <c r="H121" s="4" t="s">
        <v>23</v>
      </c>
      <c r="I121" s="2">
        <v>5.0</v>
      </c>
      <c r="J121" s="2">
        <v>20.0</v>
      </c>
      <c r="K121" s="3" t="s">
        <v>36</v>
      </c>
      <c r="L121" s="3" t="s">
        <v>24</v>
      </c>
      <c r="M121" s="4" t="s">
        <v>193</v>
      </c>
      <c r="N121" s="2">
        <v>20300.0</v>
      </c>
      <c r="O121" s="2">
        <v>19900.0</v>
      </c>
      <c r="P121" s="5">
        <v>41989.0</v>
      </c>
      <c r="Q121" s="3" t="s">
        <v>42</v>
      </c>
    </row>
    <row r="122" ht="22.5" customHeight="1">
      <c r="A122" s="2">
        <v>2013.0</v>
      </c>
      <c r="B122" s="3" t="s">
        <v>182</v>
      </c>
      <c r="C122" s="3" t="s">
        <v>183</v>
      </c>
      <c r="D122" s="4" t="s">
        <v>194</v>
      </c>
      <c r="E122" s="3" t="s">
        <v>20</v>
      </c>
      <c r="F122" s="3" t="s">
        <v>21</v>
      </c>
      <c r="G122" s="3" t="s">
        <v>272</v>
      </c>
      <c r="H122" s="4" t="s">
        <v>23</v>
      </c>
      <c r="I122" s="2">
        <v>4.0</v>
      </c>
      <c r="J122" s="2">
        <v>21579.0</v>
      </c>
      <c r="K122" s="3" t="s">
        <v>25</v>
      </c>
      <c r="L122" s="3" t="s">
        <v>24</v>
      </c>
      <c r="M122" s="4" t="s">
        <v>196</v>
      </c>
      <c r="N122" s="2">
        <v>12350.0</v>
      </c>
      <c r="O122" s="2">
        <v>12600.0</v>
      </c>
      <c r="P122" s="5">
        <v>41989.0</v>
      </c>
      <c r="Q122" s="3" t="s">
        <v>42</v>
      </c>
    </row>
    <row r="123" ht="22.5" customHeight="1">
      <c r="A123" s="2">
        <v>2013.0</v>
      </c>
      <c r="B123" s="3" t="s">
        <v>182</v>
      </c>
      <c r="C123" s="3" t="s">
        <v>200</v>
      </c>
      <c r="D123" s="4" t="s">
        <v>187</v>
      </c>
      <c r="E123" s="3" t="s">
        <v>20</v>
      </c>
      <c r="F123" s="3" t="s">
        <v>21</v>
      </c>
      <c r="G123" s="3" t="s">
        <v>273</v>
      </c>
      <c r="H123" s="4" t="s">
        <v>23</v>
      </c>
      <c r="I123" s="2">
        <v>45.0</v>
      </c>
      <c r="J123" s="2">
        <v>13162.0</v>
      </c>
      <c r="K123" s="3" t="s">
        <v>25</v>
      </c>
      <c r="L123" s="3" t="s">
        <v>24</v>
      </c>
      <c r="M123" s="4" t="s">
        <v>193</v>
      </c>
      <c r="N123" s="2">
        <v>18450.0</v>
      </c>
      <c r="O123" s="2">
        <v>18600.0</v>
      </c>
      <c r="P123" s="5">
        <v>41989.0</v>
      </c>
      <c r="Q123" s="3" t="s">
        <v>42</v>
      </c>
    </row>
    <row r="124" ht="22.5" customHeight="1">
      <c r="A124" s="2">
        <v>2013.0</v>
      </c>
      <c r="B124" s="3" t="s">
        <v>182</v>
      </c>
      <c r="C124" s="3" t="s">
        <v>183</v>
      </c>
      <c r="D124" s="4" t="s">
        <v>187</v>
      </c>
      <c r="E124" s="3" t="s">
        <v>20</v>
      </c>
      <c r="F124" s="3" t="s">
        <v>21</v>
      </c>
      <c r="G124" s="3" t="s">
        <v>274</v>
      </c>
      <c r="H124" s="4" t="s">
        <v>23</v>
      </c>
      <c r="I124" s="2">
        <v>37.0</v>
      </c>
      <c r="J124" s="2">
        <v>13871.0</v>
      </c>
      <c r="K124" s="3" t="s">
        <v>32</v>
      </c>
      <c r="L124" s="3" t="s">
        <v>25</v>
      </c>
      <c r="M124" s="4" t="s">
        <v>193</v>
      </c>
      <c r="N124" s="2">
        <v>15100.0</v>
      </c>
      <c r="O124" s="2">
        <v>15900.0</v>
      </c>
      <c r="P124" s="5">
        <v>41989.0</v>
      </c>
      <c r="Q124" s="3" t="s">
        <v>42</v>
      </c>
    </row>
    <row r="125" ht="22.5" customHeight="1">
      <c r="A125" s="2">
        <v>2013.0</v>
      </c>
      <c r="B125" s="3" t="s">
        <v>182</v>
      </c>
      <c r="C125" s="3" t="s">
        <v>190</v>
      </c>
      <c r="D125" s="4">
        <v>3.8</v>
      </c>
      <c r="E125" s="3" t="s">
        <v>20</v>
      </c>
      <c r="F125" s="3" t="s">
        <v>21</v>
      </c>
      <c r="G125" s="3" t="s">
        <v>275</v>
      </c>
      <c r="H125" s="4" t="s">
        <v>23</v>
      </c>
      <c r="I125" s="2">
        <v>43.0</v>
      </c>
      <c r="J125" s="2">
        <v>11041.0</v>
      </c>
      <c r="K125" s="3" t="s">
        <v>25</v>
      </c>
      <c r="L125" s="3" t="s">
        <v>181</v>
      </c>
      <c r="M125" s="4" t="s">
        <v>196</v>
      </c>
      <c r="N125" s="2">
        <v>19800.0</v>
      </c>
      <c r="O125" s="2">
        <v>12500.0</v>
      </c>
      <c r="P125" s="5">
        <v>41989.0</v>
      </c>
      <c r="Q125" s="3" t="s">
        <v>42</v>
      </c>
    </row>
    <row r="126" ht="22.5" customHeight="1">
      <c r="A126" s="2">
        <v>2013.0</v>
      </c>
      <c r="B126" s="3" t="s">
        <v>182</v>
      </c>
      <c r="C126" s="3" t="s">
        <v>186</v>
      </c>
      <c r="D126" s="4" t="s">
        <v>208</v>
      </c>
      <c r="E126" s="3" t="s">
        <v>30</v>
      </c>
      <c r="F126" s="3" t="s">
        <v>21</v>
      </c>
      <c r="G126" s="3" t="s">
        <v>276</v>
      </c>
      <c r="H126" s="4" t="s">
        <v>23</v>
      </c>
      <c r="I126" s="2">
        <v>5.0</v>
      </c>
      <c r="J126" s="2">
        <v>66.0</v>
      </c>
      <c r="K126" s="3" t="s">
        <v>36</v>
      </c>
      <c r="L126" s="3" t="s">
        <v>25</v>
      </c>
      <c r="M126" s="4" t="s">
        <v>193</v>
      </c>
      <c r="N126" s="2">
        <v>23100.0</v>
      </c>
      <c r="O126" s="2">
        <v>20800.0</v>
      </c>
      <c r="P126" s="5">
        <v>41989.0</v>
      </c>
      <c r="Q126" s="3" t="s">
        <v>42</v>
      </c>
    </row>
    <row r="127" ht="22.5" customHeight="1">
      <c r="A127" s="2">
        <v>2013.0</v>
      </c>
      <c r="B127" s="3" t="s">
        <v>182</v>
      </c>
      <c r="C127" s="3" t="s">
        <v>210</v>
      </c>
      <c r="D127" s="4" t="s">
        <v>178</v>
      </c>
      <c r="E127" s="3" t="s">
        <v>20</v>
      </c>
      <c r="F127" s="3" t="s">
        <v>21</v>
      </c>
      <c r="G127" s="3" t="s">
        <v>277</v>
      </c>
      <c r="H127" s="4" t="s">
        <v>23</v>
      </c>
      <c r="I127" s="2">
        <v>48.0</v>
      </c>
      <c r="J127" s="2">
        <v>10241.0</v>
      </c>
      <c r="K127" s="3" t="s">
        <v>167</v>
      </c>
      <c r="L127" s="3" t="s">
        <v>24</v>
      </c>
      <c r="M127" s="4" t="s">
        <v>193</v>
      </c>
      <c r="N127" s="2">
        <v>15100.0</v>
      </c>
      <c r="O127" s="2">
        <v>16900.0</v>
      </c>
      <c r="P127" s="5">
        <v>41989.0</v>
      </c>
      <c r="Q127" s="3" t="s">
        <v>42</v>
      </c>
    </row>
    <row r="128" ht="22.5" customHeight="1">
      <c r="A128" s="2">
        <v>2013.0</v>
      </c>
      <c r="B128" s="3" t="s">
        <v>182</v>
      </c>
      <c r="C128" s="3" t="s">
        <v>183</v>
      </c>
      <c r="D128" s="4" t="s">
        <v>194</v>
      </c>
      <c r="E128" s="3" t="s">
        <v>20</v>
      </c>
      <c r="F128" s="3" t="s">
        <v>21</v>
      </c>
      <c r="G128" s="3" t="s">
        <v>278</v>
      </c>
      <c r="H128" s="4" t="s">
        <v>23</v>
      </c>
      <c r="I128" s="2">
        <v>1.0</v>
      </c>
      <c r="J128" s="2">
        <v>41710.0</v>
      </c>
      <c r="K128" s="3" t="s">
        <v>24</v>
      </c>
      <c r="L128" s="3" t="s">
        <v>24</v>
      </c>
      <c r="M128" s="4" t="s">
        <v>63</v>
      </c>
      <c r="N128" s="2">
        <v>11150.0</v>
      </c>
      <c r="O128" s="2">
        <v>7700.0</v>
      </c>
      <c r="P128" s="5">
        <v>41989.0</v>
      </c>
      <c r="Q128" s="3" t="s">
        <v>42</v>
      </c>
    </row>
    <row r="129" ht="22.5" customHeight="1">
      <c r="A129" s="2">
        <v>2013.0</v>
      </c>
      <c r="B129" s="3" t="s">
        <v>182</v>
      </c>
      <c r="C129" s="3" t="s">
        <v>183</v>
      </c>
      <c r="D129" s="4" t="s">
        <v>194</v>
      </c>
      <c r="E129" s="3" t="s">
        <v>20</v>
      </c>
      <c r="F129" s="3" t="s">
        <v>21</v>
      </c>
      <c r="G129" s="3" t="s">
        <v>279</v>
      </c>
      <c r="H129" s="4" t="s">
        <v>23</v>
      </c>
      <c r="I129" s="2">
        <v>35.0</v>
      </c>
      <c r="J129" s="2">
        <v>36307.0</v>
      </c>
      <c r="K129" s="3" t="s">
        <v>24</v>
      </c>
      <c r="L129" s="3" t="s">
        <v>24</v>
      </c>
      <c r="M129" s="4" t="s">
        <v>160</v>
      </c>
      <c r="N129" s="2">
        <v>11500.0</v>
      </c>
      <c r="O129" s="2">
        <v>11700.0</v>
      </c>
      <c r="P129" s="5">
        <v>41989.0</v>
      </c>
      <c r="Q129" s="3" t="s">
        <v>42</v>
      </c>
    </row>
    <row r="130" ht="22.5" customHeight="1">
      <c r="A130" s="2">
        <v>2013.0</v>
      </c>
      <c r="B130" s="3" t="s">
        <v>182</v>
      </c>
      <c r="C130" s="3" t="s">
        <v>183</v>
      </c>
      <c r="D130" s="4" t="s">
        <v>194</v>
      </c>
      <c r="E130" s="3" t="s">
        <v>20</v>
      </c>
      <c r="F130" s="3" t="s">
        <v>21</v>
      </c>
      <c r="G130" s="3" t="s">
        <v>280</v>
      </c>
      <c r="H130" s="4" t="s">
        <v>23</v>
      </c>
      <c r="I130" s="2">
        <v>35.0</v>
      </c>
      <c r="J130" s="2">
        <v>37759.0</v>
      </c>
      <c r="K130" s="3" t="s">
        <v>181</v>
      </c>
      <c r="L130" s="3" t="s">
        <v>181</v>
      </c>
      <c r="M130" s="4" t="s">
        <v>168</v>
      </c>
      <c r="N130" s="2">
        <v>11400.0</v>
      </c>
      <c r="O130" s="2">
        <v>11800.0</v>
      </c>
      <c r="P130" s="5">
        <v>41989.0</v>
      </c>
      <c r="Q130" s="3" t="s">
        <v>42</v>
      </c>
    </row>
    <row r="131" ht="22.5" customHeight="1">
      <c r="A131" s="2">
        <v>2013.0</v>
      </c>
      <c r="B131" s="3" t="s">
        <v>182</v>
      </c>
      <c r="C131" s="3" t="s">
        <v>220</v>
      </c>
      <c r="D131" s="4" t="s">
        <v>194</v>
      </c>
      <c r="E131" s="3" t="s">
        <v>20</v>
      </c>
      <c r="F131" s="3" t="s">
        <v>21</v>
      </c>
      <c r="G131" s="3" t="s">
        <v>281</v>
      </c>
      <c r="H131" s="4" t="s">
        <v>23</v>
      </c>
      <c r="I131" s="2">
        <v>36.0</v>
      </c>
      <c r="J131" s="2">
        <v>41841.0</v>
      </c>
      <c r="K131" s="3" t="s">
        <v>24</v>
      </c>
      <c r="L131" s="3" t="s">
        <v>181</v>
      </c>
      <c r="M131" s="4" t="s">
        <v>282</v>
      </c>
      <c r="N131" s="2">
        <v>9425.0</v>
      </c>
      <c r="O131" s="2">
        <v>9400.0</v>
      </c>
      <c r="P131" s="5">
        <v>41989.0</v>
      </c>
      <c r="Q131" s="3" t="s">
        <v>42</v>
      </c>
    </row>
    <row r="132" ht="22.5" customHeight="1">
      <c r="A132" s="2">
        <v>2013.0</v>
      </c>
      <c r="B132" s="3" t="s">
        <v>182</v>
      </c>
      <c r="C132" s="3" t="s">
        <v>210</v>
      </c>
      <c r="D132" s="4" t="s">
        <v>194</v>
      </c>
      <c r="E132" s="3" t="s">
        <v>20</v>
      </c>
      <c r="F132" s="3" t="s">
        <v>21</v>
      </c>
      <c r="G132" s="3" t="s">
        <v>283</v>
      </c>
      <c r="H132" s="4" t="s">
        <v>23</v>
      </c>
      <c r="I132" s="2">
        <v>38.0</v>
      </c>
      <c r="J132" s="2">
        <v>34745.0</v>
      </c>
      <c r="K132" s="3" t="s">
        <v>32</v>
      </c>
      <c r="L132" s="3" t="s">
        <v>230</v>
      </c>
      <c r="M132" s="4" t="s">
        <v>168</v>
      </c>
      <c r="N132" s="2">
        <v>12250.0</v>
      </c>
      <c r="O132" s="2">
        <v>12700.0</v>
      </c>
      <c r="P132" s="5">
        <v>41989.0</v>
      </c>
      <c r="Q132" s="3" t="s">
        <v>42</v>
      </c>
    </row>
    <row r="133" ht="22.5" customHeight="1">
      <c r="A133" s="2">
        <v>2013.0</v>
      </c>
      <c r="B133" s="3" t="s">
        <v>182</v>
      </c>
      <c r="C133" s="3" t="s">
        <v>183</v>
      </c>
      <c r="D133" s="4" t="s">
        <v>194</v>
      </c>
      <c r="E133" s="3" t="s">
        <v>20</v>
      </c>
      <c r="F133" s="3" t="s">
        <v>21</v>
      </c>
      <c r="G133" s="3" t="s">
        <v>284</v>
      </c>
      <c r="H133" s="4" t="s">
        <v>23</v>
      </c>
      <c r="I133" s="2">
        <v>44.0</v>
      </c>
      <c r="J133" s="2">
        <v>38170.0</v>
      </c>
      <c r="K133" s="3" t="s">
        <v>24</v>
      </c>
      <c r="L133" s="3" t="s">
        <v>181</v>
      </c>
      <c r="M133" s="4" t="s">
        <v>160</v>
      </c>
      <c r="N133" s="2">
        <v>11350.0</v>
      </c>
      <c r="O133" s="2">
        <v>11600.0</v>
      </c>
      <c r="P133" s="5">
        <v>41989.0</v>
      </c>
      <c r="Q133" s="3" t="s">
        <v>42</v>
      </c>
    </row>
    <row r="134" ht="22.5" customHeight="1">
      <c r="A134" s="2">
        <v>2013.0</v>
      </c>
      <c r="B134" s="3" t="s">
        <v>182</v>
      </c>
      <c r="C134" s="3" t="s">
        <v>183</v>
      </c>
      <c r="D134" s="4" t="s">
        <v>194</v>
      </c>
      <c r="E134" s="3" t="s">
        <v>20</v>
      </c>
      <c r="F134" s="3" t="s">
        <v>21</v>
      </c>
      <c r="G134" s="3" t="s">
        <v>285</v>
      </c>
      <c r="H134" s="4" t="s">
        <v>23</v>
      </c>
      <c r="I134" s="2">
        <v>38.0</v>
      </c>
      <c r="J134" s="2">
        <v>38594.0</v>
      </c>
      <c r="K134" s="3" t="s">
        <v>24</v>
      </c>
      <c r="L134" s="3" t="s">
        <v>24</v>
      </c>
      <c r="M134" s="4" t="s">
        <v>168</v>
      </c>
      <c r="N134" s="2">
        <v>11350.0</v>
      </c>
      <c r="O134" s="2">
        <v>11800.0</v>
      </c>
      <c r="P134" s="5">
        <v>41989.0</v>
      </c>
      <c r="Q134" s="3" t="s">
        <v>42</v>
      </c>
    </row>
    <row r="135" ht="22.5" customHeight="1">
      <c r="A135" s="2">
        <v>2013.0</v>
      </c>
      <c r="B135" s="3" t="s">
        <v>182</v>
      </c>
      <c r="C135" s="3" t="s">
        <v>210</v>
      </c>
      <c r="D135" s="4" t="s">
        <v>194</v>
      </c>
      <c r="E135" s="3" t="s">
        <v>20</v>
      </c>
      <c r="F135" s="3" t="s">
        <v>21</v>
      </c>
      <c r="G135" s="3" t="s">
        <v>286</v>
      </c>
      <c r="H135" s="4" t="s">
        <v>23</v>
      </c>
      <c r="I135" s="2">
        <v>38.0</v>
      </c>
      <c r="J135" s="2">
        <v>40322.0</v>
      </c>
      <c r="K135" s="3" t="s">
        <v>36</v>
      </c>
      <c r="L135" s="3" t="s">
        <v>24</v>
      </c>
      <c r="M135" s="4" t="s">
        <v>168</v>
      </c>
      <c r="N135" s="2">
        <v>11900.0</v>
      </c>
      <c r="O135" s="2">
        <v>12300.0</v>
      </c>
      <c r="P135" s="5">
        <v>41989.0</v>
      </c>
      <c r="Q135" s="3" t="s">
        <v>42</v>
      </c>
    </row>
    <row r="136" ht="22.5" customHeight="1">
      <c r="A136" s="2">
        <v>2013.0</v>
      </c>
      <c r="B136" s="3" t="s">
        <v>182</v>
      </c>
      <c r="C136" s="3" t="s">
        <v>183</v>
      </c>
      <c r="D136" s="4" t="s">
        <v>194</v>
      </c>
      <c r="E136" s="3" t="s">
        <v>20</v>
      </c>
      <c r="F136" s="3" t="s">
        <v>21</v>
      </c>
      <c r="G136" s="3" t="s">
        <v>287</v>
      </c>
      <c r="H136" s="4" t="s">
        <v>23</v>
      </c>
      <c r="I136" s="2">
        <v>35.0</v>
      </c>
      <c r="J136" s="2">
        <v>38388.0</v>
      </c>
      <c r="K136" s="3" t="s">
        <v>24</v>
      </c>
      <c r="L136" s="3" t="s">
        <v>24</v>
      </c>
      <c r="M136" s="4" t="s">
        <v>160</v>
      </c>
      <c r="N136" s="2">
        <v>11350.0</v>
      </c>
      <c r="O136" s="2">
        <v>11700.0</v>
      </c>
      <c r="P136" s="5">
        <v>41989.0</v>
      </c>
      <c r="Q136" s="3" t="s">
        <v>42</v>
      </c>
    </row>
    <row r="137" ht="22.5" customHeight="1">
      <c r="A137" s="2">
        <v>2013.0</v>
      </c>
      <c r="B137" s="3" t="s">
        <v>182</v>
      </c>
      <c r="C137" s="3" t="s">
        <v>210</v>
      </c>
      <c r="D137" s="4" t="s">
        <v>194</v>
      </c>
      <c r="E137" s="3" t="s">
        <v>20</v>
      </c>
      <c r="F137" s="3" t="s">
        <v>21</v>
      </c>
      <c r="G137" s="3" t="s">
        <v>288</v>
      </c>
      <c r="H137" s="4" t="s">
        <v>23</v>
      </c>
      <c r="I137" s="2">
        <v>25.0</v>
      </c>
      <c r="J137" s="2">
        <v>40045.0</v>
      </c>
      <c r="K137" s="3" t="s">
        <v>32</v>
      </c>
      <c r="L137" s="3" t="s">
        <v>181</v>
      </c>
      <c r="M137" s="4" t="s">
        <v>168</v>
      </c>
      <c r="N137" s="2">
        <v>11900.0</v>
      </c>
      <c r="O137" s="2">
        <v>12300.0</v>
      </c>
      <c r="P137" s="5">
        <v>41989.0</v>
      </c>
      <c r="Q137" s="3" t="s">
        <v>42</v>
      </c>
    </row>
    <row r="138" ht="22.5" customHeight="1">
      <c r="A138" s="2">
        <v>2013.0</v>
      </c>
      <c r="B138" s="3" t="s">
        <v>182</v>
      </c>
      <c r="C138" s="3" t="s">
        <v>210</v>
      </c>
      <c r="D138" s="4" t="s">
        <v>194</v>
      </c>
      <c r="E138" s="3" t="s">
        <v>20</v>
      </c>
      <c r="F138" s="3" t="s">
        <v>21</v>
      </c>
      <c r="G138" s="3" t="s">
        <v>289</v>
      </c>
      <c r="H138" s="4" t="s">
        <v>23</v>
      </c>
      <c r="I138" s="2">
        <v>33.0</v>
      </c>
      <c r="J138" s="2">
        <v>37499.0</v>
      </c>
      <c r="K138" s="3" t="s">
        <v>167</v>
      </c>
      <c r="L138" s="3" t="s">
        <v>24</v>
      </c>
      <c r="M138" s="4" t="s">
        <v>168</v>
      </c>
      <c r="N138" s="2">
        <v>12050.0</v>
      </c>
      <c r="O138" s="2">
        <v>12400.0</v>
      </c>
      <c r="P138" s="5">
        <v>41989.0</v>
      </c>
      <c r="Q138" s="3" t="s">
        <v>42</v>
      </c>
    </row>
    <row r="139" ht="22.5" customHeight="1">
      <c r="A139" s="2">
        <v>2013.0</v>
      </c>
      <c r="B139" s="3" t="s">
        <v>182</v>
      </c>
      <c r="C139" s="3" t="s">
        <v>210</v>
      </c>
      <c r="D139" s="4" t="s">
        <v>194</v>
      </c>
      <c r="E139" s="3" t="s">
        <v>20</v>
      </c>
      <c r="F139" s="3" t="s">
        <v>21</v>
      </c>
      <c r="G139" s="3" t="s">
        <v>290</v>
      </c>
      <c r="H139" s="4" t="s">
        <v>23</v>
      </c>
      <c r="I139" s="2">
        <v>1.0</v>
      </c>
      <c r="J139" s="2">
        <v>48510.0</v>
      </c>
      <c r="K139" s="3" t="s">
        <v>32</v>
      </c>
      <c r="L139" s="3" t="s">
        <v>230</v>
      </c>
      <c r="M139" s="4" t="s">
        <v>291</v>
      </c>
      <c r="N139" s="2">
        <v>11350.0</v>
      </c>
      <c r="O139" s="2">
        <v>6500.0</v>
      </c>
      <c r="P139" s="5">
        <v>41989.0</v>
      </c>
      <c r="Q139" s="3" t="s">
        <v>42</v>
      </c>
    </row>
    <row r="140" ht="22.5" customHeight="1">
      <c r="A140" s="2">
        <v>2013.0</v>
      </c>
      <c r="B140" s="3" t="s">
        <v>182</v>
      </c>
      <c r="C140" s="3" t="s">
        <v>220</v>
      </c>
      <c r="D140" s="4" t="s">
        <v>194</v>
      </c>
      <c r="E140" s="3" t="s">
        <v>20</v>
      </c>
      <c r="F140" s="3" t="s">
        <v>21</v>
      </c>
      <c r="G140" s="3" t="s">
        <v>292</v>
      </c>
      <c r="H140" s="4" t="s">
        <v>23</v>
      </c>
      <c r="I140" s="2">
        <v>2.0</v>
      </c>
      <c r="J140" s="2">
        <v>35828.0</v>
      </c>
      <c r="K140" s="3" t="s">
        <v>207</v>
      </c>
      <c r="L140" s="3" t="s">
        <v>181</v>
      </c>
      <c r="M140" s="4" t="s">
        <v>63</v>
      </c>
      <c r="N140" s="2">
        <v>9600.0</v>
      </c>
      <c r="O140" s="2">
        <v>6700.0</v>
      </c>
      <c r="P140" s="5">
        <v>41989.0</v>
      </c>
      <c r="Q140" s="3" t="s">
        <v>42</v>
      </c>
    </row>
    <row r="141" ht="22.5" customHeight="1">
      <c r="A141" s="2">
        <v>2013.0</v>
      </c>
      <c r="B141" s="3" t="s">
        <v>182</v>
      </c>
      <c r="C141" s="3" t="s">
        <v>183</v>
      </c>
      <c r="D141" s="4" t="s">
        <v>194</v>
      </c>
      <c r="E141" s="3" t="s">
        <v>20</v>
      </c>
      <c r="F141" s="3" t="s">
        <v>21</v>
      </c>
      <c r="G141" s="3" t="s">
        <v>293</v>
      </c>
      <c r="H141" s="4" t="s">
        <v>23</v>
      </c>
      <c r="I141" s="2">
        <v>45.0</v>
      </c>
      <c r="J141" s="2">
        <v>26412.0</v>
      </c>
      <c r="K141" s="3" t="s">
        <v>25</v>
      </c>
      <c r="L141" s="3" t="s">
        <v>181</v>
      </c>
      <c r="M141" s="4" t="s">
        <v>294</v>
      </c>
      <c r="N141" s="2">
        <v>12050.0</v>
      </c>
      <c r="O141" s="2">
        <v>11750.0</v>
      </c>
      <c r="P141" s="5">
        <v>41990.0</v>
      </c>
      <c r="Q141" s="3" t="s">
        <v>84</v>
      </c>
    </row>
    <row r="142" ht="22.5" customHeight="1">
      <c r="A142" s="2">
        <v>2013.0</v>
      </c>
      <c r="B142" s="3" t="s">
        <v>182</v>
      </c>
      <c r="C142" s="3" t="s">
        <v>210</v>
      </c>
      <c r="D142" s="4" t="s">
        <v>194</v>
      </c>
      <c r="E142" s="3" t="s">
        <v>20</v>
      </c>
      <c r="F142" s="3" t="s">
        <v>21</v>
      </c>
      <c r="G142" s="3" t="s">
        <v>295</v>
      </c>
      <c r="H142" s="4" t="s">
        <v>23</v>
      </c>
      <c r="I142" s="2">
        <v>28.0</v>
      </c>
      <c r="J142" s="2">
        <v>32387.0</v>
      </c>
      <c r="K142" s="3" t="s">
        <v>36</v>
      </c>
      <c r="L142" s="3" t="s">
        <v>24</v>
      </c>
      <c r="M142" s="4" t="s">
        <v>296</v>
      </c>
      <c r="N142" s="2">
        <v>12400.0</v>
      </c>
      <c r="O142" s="2">
        <v>9750.0</v>
      </c>
      <c r="P142" s="5">
        <v>41990.0</v>
      </c>
      <c r="Q142" s="3" t="s">
        <v>84</v>
      </c>
    </row>
    <row r="143" ht="22.5" customHeight="1">
      <c r="A143" s="2">
        <v>2015.0</v>
      </c>
      <c r="B143" s="3" t="s">
        <v>182</v>
      </c>
      <c r="C143" s="3" t="s">
        <v>183</v>
      </c>
      <c r="D143" s="4" t="s">
        <v>178</v>
      </c>
      <c r="E143" s="3" t="s">
        <v>20</v>
      </c>
      <c r="F143" s="3" t="s">
        <v>21</v>
      </c>
      <c r="G143" s="3" t="s">
        <v>297</v>
      </c>
      <c r="H143" s="4" t="s">
        <v>23</v>
      </c>
      <c r="I143" s="2">
        <v>35.0</v>
      </c>
      <c r="J143" s="2">
        <v>3367.0</v>
      </c>
      <c r="K143" s="3" t="s">
        <v>36</v>
      </c>
      <c r="L143" s="3" t="s">
        <v>24</v>
      </c>
      <c r="M143" s="4" t="s">
        <v>298</v>
      </c>
      <c r="N143" s="2">
        <v>13900.0</v>
      </c>
      <c r="O143" s="2">
        <v>13200.0</v>
      </c>
      <c r="P143" s="5">
        <v>41990.0</v>
      </c>
      <c r="Q143" s="3" t="s">
        <v>84</v>
      </c>
    </row>
    <row r="144" ht="22.5" customHeight="1">
      <c r="A144" s="2">
        <v>2013.0</v>
      </c>
      <c r="B144" s="3" t="s">
        <v>182</v>
      </c>
      <c r="C144" s="3" t="s">
        <v>183</v>
      </c>
      <c r="D144" s="4" t="s">
        <v>194</v>
      </c>
      <c r="E144" s="3" t="s">
        <v>20</v>
      </c>
      <c r="F144" s="3" t="s">
        <v>21</v>
      </c>
      <c r="G144" s="3" t="s">
        <v>299</v>
      </c>
      <c r="H144" s="4" t="s">
        <v>23</v>
      </c>
      <c r="I144" s="2">
        <v>44.0</v>
      </c>
      <c r="J144" s="2">
        <v>39935.0</v>
      </c>
      <c r="K144" s="3" t="s">
        <v>36</v>
      </c>
      <c r="L144" s="3" t="s">
        <v>24</v>
      </c>
      <c r="M144" s="4" t="s">
        <v>160</v>
      </c>
      <c r="N144" s="2">
        <v>11250.0</v>
      </c>
      <c r="O144" s="2">
        <v>11000.0</v>
      </c>
      <c r="P144" s="5">
        <v>41990.0</v>
      </c>
      <c r="Q144" s="3" t="s">
        <v>84</v>
      </c>
    </row>
    <row r="145" ht="22.5" customHeight="1">
      <c r="A145" s="2">
        <v>2013.0</v>
      </c>
      <c r="B145" s="3" t="s">
        <v>182</v>
      </c>
      <c r="C145" s="3" t="s">
        <v>210</v>
      </c>
      <c r="D145" s="4" t="s">
        <v>194</v>
      </c>
      <c r="E145" s="3" t="s">
        <v>20</v>
      </c>
      <c r="F145" s="3" t="s">
        <v>21</v>
      </c>
      <c r="G145" s="3" t="s">
        <v>300</v>
      </c>
      <c r="H145" s="4" t="s">
        <v>23</v>
      </c>
      <c r="I145" s="2">
        <v>43.0</v>
      </c>
      <c r="J145" s="2">
        <v>54830.0</v>
      </c>
      <c r="K145" s="3" t="s">
        <v>36</v>
      </c>
      <c r="L145" s="3" t="s">
        <v>24</v>
      </c>
      <c r="M145" s="4" t="s">
        <v>143</v>
      </c>
      <c r="N145" s="2">
        <v>10950.0</v>
      </c>
      <c r="O145" s="2">
        <v>11500.0</v>
      </c>
      <c r="P145" s="5">
        <v>41990.0</v>
      </c>
      <c r="Q145" s="3" t="s">
        <v>84</v>
      </c>
    </row>
    <row r="146" ht="22.5" customHeight="1">
      <c r="A146" s="2">
        <v>2013.0</v>
      </c>
      <c r="B146" s="3" t="s">
        <v>182</v>
      </c>
      <c r="C146" s="3" t="s">
        <v>210</v>
      </c>
      <c r="D146" s="4" t="s">
        <v>194</v>
      </c>
      <c r="E146" s="3" t="s">
        <v>20</v>
      </c>
      <c r="F146" s="3" t="s">
        <v>21</v>
      </c>
      <c r="G146" s="3" t="s">
        <v>301</v>
      </c>
      <c r="H146" s="4" t="s">
        <v>23</v>
      </c>
      <c r="I146" s="2">
        <v>39.0</v>
      </c>
      <c r="J146" s="2">
        <v>36416.0</v>
      </c>
      <c r="K146" s="3" t="s">
        <v>167</v>
      </c>
      <c r="L146" s="3" t="s">
        <v>24</v>
      </c>
      <c r="M146" s="4" t="s">
        <v>160</v>
      </c>
      <c r="N146" s="2">
        <v>12150.0</v>
      </c>
      <c r="O146" s="2">
        <v>11400.0</v>
      </c>
      <c r="P146" s="5">
        <v>41990.0</v>
      </c>
      <c r="Q146" s="3" t="s">
        <v>84</v>
      </c>
    </row>
    <row r="147" ht="22.5" customHeight="1">
      <c r="A147" s="2">
        <v>2013.0</v>
      </c>
      <c r="B147" s="3" t="s">
        <v>182</v>
      </c>
      <c r="C147" s="3" t="s">
        <v>210</v>
      </c>
      <c r="D147" s="4" t="s">
        <v>194</v>
      </c>
      <c r="E147" s="3" t="s">
        <v>20</v>
      </c>
      <c r="F147" s="3" t="s">
        <v>21</v>
      </c>
      <c r="G147" s="3" t="s">
        <v>302</v>
      </c>
      <c r="H147" s="4" t="s">
        <v>23</v>
      </c>
      <c r="I147" s="2">
        <v>36.0</v>
      </c>
      <c r="J147" s="2">
        <v>28231.0</v>
      </c>
      <c r="K147" s="3" t="s">
        <v>24</v>
      </c>
      <c r="L147" s="3" t="s">
        <v>24</v>
      </c>
      <c r="M147" s="4" t="s">
        <v>303</v>
      </c>
      <c r="N147" s="2">
        <v>12650.0</v>
      </c>
      <c r="O147" s="2">
        <v>13400.0</v>
      </c>
      <c r="P147" s="5">
        <v>41990.0</v>
      </c>
      <c r="Q147" s="3" t="s">
        <v>84</v>
      </c>
    </row>
    <row r="148" ht="22.5" customHeight="1">
      <c r="A148" s="2">
        <v>2013.0</v>
      </c>
      <c r="B148" s="3" t="s">
        <v>182</v>
      </c>
      <c r="C148" s="3" t="s">
        <v>183</v>
      </c>
      <c r="D148" s="4" t="s">
        <v>187</v>
      </c>
      <c r="E148" s="3" t="s">
        <v>20</v>
      </c>
      <c r="F148" s="3" t="s">
        <v>21</v>
      </c>
      <c r="G148" s="3" t="s">
        <v>304</v>
      </c>
      <c r="H148" s="4" t="s">
        <v>23</v>
      </c>
      <c r="I148" s="2">
        <v>45.0</v>
      </c>
      <c r="J148" s="2">
        <v>37290.0</v>
      </c>
      <c r="K148" s="3" t="s">
        <v>32</v>
      </c>
      <c r="L148" s="3" t="s">
        <v>181</v>
      </c>
      <c r="M148" s="4" t="s">
        <v>160</v>
      </c>
      <c r="N148" s="2">
        <v>11400.0</v>
      </c>
      <c r="O148" s="2">
        <v>11000.0</v>
      </c>
      <c r="P148" s="5">
        <v>41990.0</v>
      </c>
      <c r="Q148" s="3" t="s">
        <v>84</v>
      </c>
    </row>
    <row r="149" ht="22.5" customHeight="1">
      <c r="A149" s="2">
        <v>2013.0</v>
      </c>
      <c r="B149" s="3" t="s">
        <v>182</v>
      </c>
      <c r="C149" s="3" t="s">
        <v>210</v>
      </c>
      <c r="D149" s="4" t="s">
        <v>194</v>
      </c>
      <c r="E149" s="3" t="s">
        <v>20</v>
      </c>
      <c r="F149" s="3" t="s">
        <v>21</v>
      </c>
      <c r="G149" s="3" t="s">
        <v>305</v>
      </c>
      <c r="H149" s="4" t="s">
        <v>23</v>
      </c>
      <c r="I149" s="2">
        <v>37.0</v>
      </c>
      <c r="J149" s="2">
        <v>36194.0</v>
      </c>
      <c r="K149" s="3" t="s">
        <v>36</v>
      </c>
      <c r="L149" s="3" t="s">
        <v>24</v>
      </c>
      <c r="M149" s="4" t="s">
        <v>143</v>
      </c>
      <c r="N149" s="2">
        <v>12150.0</v>
      </c>
      <c r="O149" s="2">
        <v>13200.0</v>
      </c>
      <c r="P149" s="5">
        <v>41990.0</v>
      </c>
      <c r="Q149" s="3" t="s">
        <v>84</v>
      </c>
    </row>
    <row r="150" ht="22.5" customHeight="1">
      <c r="A150" s="2">
        <v>2013.0</v>
      </c>
      <c r="B150" s="3" t="s">
        <v>182</v>
      </c>
      <c r="C150" s="3" t="s">
        <v>210</v>
      </c>
      <c r="D150" s="4" t="s">
        <v>194</v>
      </c>
      <c r="E150" s="3" t="s">
        <v>20</v>
      </c>
      <c r="F150" s="3" t="s">
        <v>21</v>
      </c>
      <c r="G150" s="3" t="s">
        <v>306</v>
      </c>
      <c r="H150" s="4" t="s">
        <v>23</v>
      </c>
      <c r="I150" s="2">
        <v>44.0</v>
      </c>
      <c r="J150" s="2">
        <v>36991.0</v>
      </c>
      <c r="K150" s="3" t="s">
        <v>32</v>
      </c>
      <c r="L150" s="3" t="s">
        <v>181</v>
      </c>
      <c r="M150" s="4" t="s">
        <v>143</v>
      </c>
      <c r="N150" s="2">
        <v>12100.0</v>
      </c>
      <c r="O150" s="2">
        <v>13400.0</v>
      </c>
      <c r="P150" s="5">
        <v>41990.0</v>
      </c>
      <c r="Q150" s="3" t="s">
        <v>84</v>
      </c>
    </row>
    <row r="151" ht="22.5" customHeight="1">
      <c r="A151" s="2">
        <v>2015.0</v>
      </c>
      <c r="B151" s="3" t="s">
        <v>182</v>
      </c>
      <c r="C151" s="3" t="s">
        <v>183</v>
      </c>
      <c r="D151" s="4" t="s">
        <v>178</v>
      </c>
      <c r="E151" s="3" t="s">
        <v>20</v>
      </c>
      <c r="F151" s="3" t="s">
        <v>21</v>
      </c>
      <c r="G151" s="3" t="s">
        <v>307</v>
      </c>
      <c r="H151" s="4" t="s">
        <v>23</v>
      </c>
      <c r="I151" s="2">
        <v>1.0</v>
      </c>
      <c r="J151" s="2">
        <v>6759.0</v>
      </c>
      <c r="K151" s="3" t="s">
        <v>167</v>
      </c>
      <c r="L151" s="3" t="s">
        <v>24</v>
      </c>
      <c r="M151" s="4" t="s">
        <v>63</v>
      </c>
      <c r="N151" s="2">
        <v>13800.0</v>
      </c>
      <c r="O151" s="2">
        <v>5800.0</v>
      </c>
      <c r="P151" s="5">
        <v>41990.0</v>
      </c>
      <c r="Q151" s="3" t="s">
        <v>84</v>
      </c>
    </row>
    <row r="152" ht="22.5" customHeight="1">
      <c r="A152" s="2">
        <v>2013.0</v>
      </c>
      <c r="B152" s="3" t="s">
        <v>182</v>
      </c>
      <c r="C152" s="3" t="s">
        <v>183</v>
      </c>
      <c r="D152" s="4" t="s">
        <v>194</v>
      </c>
      <c r="E152" s="3" t="s">
        <v>20</v>
      </c>
      <c r="F152" s="3" t="s">
        <v>21</v>
      </c>
      <c r="G152" s="3" t="s">
        <v>308</v>
      </c>
      <c r="H152" s="4" t="s">
        <v>23</v>
      </c>
      <c r="I152" s="2">
        <v>1.0</v>
      </c>
      <c r="J152" s="2">
        <v>36957.0</v>
      </c>
      <c r="K152" s="3" t="s">
        <v>139</v>
      </c>
      <c r="L152" s="3" t="s">
        <v>181</v>
      </c>
      <c r="M152" s="4" t="s">
        <v>63</v>
      </c>
      <c r="N152" s="2">
        <v>11400.0</v>
      </c>
      <c r="O152" s="2">
        <v>9400.0</v>
      </c>
      <c r="P152" s="5">
        <v>41990.0</v>
      </c>
      <c r="Q152" s="3" t="s">
        <v>84</v>
      </c>
    </row>
    <row r="153" ht="22.5" customHeight="1">
      <c r="A153" s="2">
        <v>2013.0</v>
      </c>
      <c r="B153" s="3" t="s">
        <v>182</v>
      </c>
      <c r="C153" s="3" t="s">
        <v>210</v>
      </c>
      <c r="D153" s="4" t="s">
        <v>194</v>
      </c>
      <c r="E153" s="3" t="s">
        <v>20</v>
      </c>
      <c r="F153" s="3" t="s">
        <v>21</v>
      </c>
      <c r="G153" s="3" t="s">
        <v>309</v>
      </c>
      <c r="H153" s="4" t="s">
        <v>23</v>
      </c>
      <c r="I153" s="2">
        <v>35.0</v>
      </c>
      <c r="J153" s="2">
        <v>41888.0</v>
      </c>
      <c r="K153" s="3" t="s">
        <v>24</v>
      </c>
      <c r="L153" s="3" t="s">
        <v>24</v>
      </c>
      <c r="M153" s="4" t="s">
        <v>168</v>
      </c>
      <c r="N153" s="2">
        <v>11800.0</v>
      </c>
      <c r="O153" s="2">
        <v>11900.0</v>
      </c>
      <c r="P153" s="5">
        <v>41991.0</v>
      </c>
      <c r="Q153" s="3" t="s">
        <v>27</v>
      </c>
    </row>
    <row r="154" ht="22.5" customHeight="1">
      <c r="A154" s="2">
        <v>2013.0</v>
      </c>
      <c r="B154" s="3" t="s">
        <v>182</v>
      </c>
      <c r="C154" s="3" t="s">
        <v>210</v>
      </c>
      <c r="D154" s="4" t="s">
        <v>194</v>
      </c>
      <c r="E154" s="3" t="s">
        <v>20</v>
      </c>
      <c r="F154" s="3" t="s">
        <v>21</v>
      </c>
      <c r="G154" s="3" t="s">
        <v>310</v>
      </c>
      <c r="H154" s="4" t="s">
        <v>23</v>
      </c>
      <c r="I154" s="2">
        <v>37.0</v>
      </c>
      <c r="J154" s="2">
        <v>39062.0</v>
      </c>
      <c r="K154" s="3" t="s">
        <v>167</v>
      </c>
      <c r="L154" s="3" t="s">
        <v>24</v>
      </c>
      <c r="M154" s="4" t="s">
        <v>168</v>
      </c>
      <c r="N154" s="2">
        <v>12000.0</v>
      </c>
      <c r="O154" s="2">
        <v>12200.0</v>
      </c>
      <c r="P154" s="5">
        <v>41991.0</v>
      </c>
      <c r="Q154" s="3" t="s">
        <v>27</v>
      </c>
    </row>
    <row r="155" ht="22.5" customHeight="1">
      <c r="A155" s="2">
        <v>2013.0</v>
      </c>
      <c r="B155" s="3" t="s">
        <v>182</v>
      </c>
      <c r="C155" s="3" t="s">
        <v>210</v>
      </c>
      <c r="D155" s="4" t="s">
        <v>194</v>
      </c>
      <c r="E155" s="3" t="s">
        <v>20</v>
      </c>
      <c r="F155" s="3" t="s">
        <v>21</v>
      </c>
      <c r="G155" s="3" t="s">
        <v>311</v>
      </c>
      <c r="H155" s="4" t="s">
        <v>23</v>
      </c>
      <c r="I155" s="2">
        <v>42.0</v>
      </c>
      <c r="J155" s="2">
        <v>40593.0</v>
      </c>
      <c r="K155" s="3" t="s">
        <v>32</v>
      </c>
      <c r="L155" s="3" t="s">
        <v>181</v>
      </c>
      <c r="M155" s="4" t="s">
        <v>312</v>
      </c>
      <c r="N155" s="2">
        <v>11900.0</v>
      </c>
      <c r="O155" s="2">
        <v>12000.0</v>
      </c>
      <c r="P155" s="5">
        <v>41991.0</v>
      </c>
      <c r="Q155" s="3" t="s">
        <v>27</v>
      </c>
    </row>
    <row r="156" ht="22.5" customHeight="1">
      <c r="A156" s="2">
        <v>2013.0</v>
      </c>
      <c r="B156" s="3" t="s">
        <v>182</v>
      </c>
      <c r="C156" s="3" t="s">
        <v>183</v>
      </c>
      <c r="D156" s="4" t="s">
        <v>194</v>
      </c>
      <c r="E156" s="3" t="s">
        <v>20</v>
      </c>
      <c r="F156" s="3" t="s">
        <v>21</v>
      </c>
      <c r="G156" s="3" t="s">
        <v>313</v>
      </c>
      <c r="H156" s="4" t="s">
        <v>23</v>
      </c>
      <c r="I156" s="2">
        <v>46.0</v>
      </c>
      <c r="J156" s="2">
        <v>42006.0</v>
      </c>
      <c r="K156" s="3" t="s">
        <v>24</v>
      </c>
      <c r="L156" s="3" t="s">
        <v>181</v>
      </c>
      <c r="M156" s="4" t="s">
        <v>312</v>
      </c>
      <c r="N156" s="2">
        <v>11150.0</v>
      </c>
      <c r="O156" s="2">
        <v>11300.0</v>
      </c>
      <c r="P156" s="5">
        <v>41991.0</v>
      </c>
      <c r="Q156" s="3" t="s">
        <v>27</v>
      </c>
    </row>
    <row r="157" ht="22.5" customHeight="1">
      <c r="A157" s="2">
        <v>2013.0</v>
      </c>
      <c r="B157" s="3" t="s">
        <v>182</v>
      </c>
      <c r="C157" s="3" t="s">
        <v>183</v>
      </c>
      <c r="D157" s="4" t="s">
        <v>194</v>
      </c>
      <c r="E157" s="3" t="s">
        <v>20</v>
      </c>
      <c r="F157" s="3" t="s">
        <v>21</v>
      </c>
      <c r="G157" s="3" t="s">
        <v>314</v>
      </c>
      <c r="H157" s="4" t="s">
        <v>23</v>
      </c>
      <c r="I157" s="2">
        <v>2.0</v>
      </c>
      <c r="J157" s="2">
        <v>35824.0</v>
      </c>
      <c r="K157" s="3" t="s">
        <v>24</v>
      </c>
      <c r="L157" s="3" t="s">
        <v>24</v>
      </c>
      <c r="M157" s="4" t="s">
        <v>63</v>
      </c>
      <c r="N157" s="2">
        <v>11500.0</v>
      </c>
      <c r="O157" s="2">
        <v>8700.0</v>
      </c>
      <c r="P157" s="5">
        <v>41991.0</v>
      </c>
      <c r="Q157" s="3" t="s">
        <v>27</v>
      </c>
    </row>
    <row r="158" ht="22.5" customHeight="1">
      <c r="A158" s="2">
        <v>2013.0</v>
      </c>
      <c r="B158" s="3" t="s">
        <v>182</v>
      </c>
      <c r="C158" s="3" t="s">
        <v>220</v>
      </c>
      <c r="D158" s="4" t="s">
        <v>221</v>
      </c>
      <c r="E158" s="3" t="s">
        <v>215</v>
      </c>
      <c r="F158" s="3" t="s">
        <v>131</v>
      </c>
      <c r="G158" s="3" t="s">
        <v>315</v>
      </c>
      <c r="H158" s="4" t="s">
        <v>23</v>
      </c>
      <c r="I158" s="2">
        <v>47.0</v>
      </c>
      <c r="J158" s="2">
        <v>15813.0</v>
      </c>
      <c r="K158" s="3" t="s">
        <v>316</v>
      </c>
      <c r="L158" s="3" t="s">
        <v>25</v>
      </c>
      <c r="M158" s="4" t="s">
        <v>317</v>
      </c>
      <c r="N158" s="2">
        <v>10500.0</v>
      </c>
      <c r="O158" s="2">
        <v>9500.0</v>
      </c>
      <c r="P158" s="5">
        <v>41991.0</v>
      </c>
      <c r="Q158" s="3" t="s">
        <v>27</v>
      </c>
    </row>
    <row r="159" ht="22.5" customHeight="1">
      <c r="A159" s="2">
        <v>2013.0</v>
      </c>
      <c r="B159" s="3" t="s">
        <v>182</v>
      </c>
      <c r="C159" s="3" t="s">
        <v>210</v>
      </c>
      <c r="D159" s="4" t="s">
        <v>194</v>
      </c>
      <c r="E159" s="3" t="s">
        <v>20</v>
      </c>
      <c r="F159" s="3" t="s">
        <v>21</v>
      </c>
      <c r="G159" s="3" t="s">
        <v>318</v>
      </c>
      <c r="H159" s="4" t="s">
        <v>23</v>
      </c>
      <c r="I159" s="2">
        <v>39.0</v>
      </c>
      <c r="J159" s="2">
        <v>25895.0</v>
      </c>
      <c r="K159" s="3" t="s">
        <v>32</v>
      </c>
      <c r="L159" s="3" t="s">
        <v>181</v>
      </c>
      <c r="M159" s="4" t="s">
        <v>317</v>
      </c>
      <c r="N159" s="2">
        <v>12850.0</v>
      </c>
      <c r="O159" s="2">
        <v>12900.0</v>
      </c>
      <c r="P159" s="5">
        <v>41991.0</v>
      </c>
      <c r="Q159" s="3" t="s">
        <v>27</v>
      </c>
    </row>
    <row r="160" ht="22.5" customHeight="1">
      <c r="A160" s="2">
        <v>2013.0</v>
      </c>
      <c r="B160" s="3" t="s">
        <v>182</v>
      </c>
      <c r="C160" s="3" t="s">
        <v>220</v>
      </c>
      <c r="D160" s="4" t="s">
        <v>194</v>
      </c>
      <c r="E160" s="3" t="s">
        <v>20</v>
      </c>
      <c r="F160" s="3" t="s">
        <v>21</v>
      </c>
      <c r="G160" s="3" t="s">
        <v>319</v>
      </c>
      <c r="H160" s="4" t="s">
        <v>23</v>
      </c>
      <c r="I160" s="2">
        <v>2.0</v>
      </c>
      <c r="J160" s="2">
        <v>34136.0</v>
      </c>
      <c r="K160" s="3" t="s">
        <v>25</v>
      </c>
      <c r="L160" s="3" t="s">
        <v>181</v>
      </c>
      <c r="M160" s="4" t="s">
        <v>63</v>
      </c>
      <c r="N160" s="2">
        <v>9700.0</v>
      </c>
      <c r="O160" s="2">
        <v>8100.0</v>
      </c>
      <c r="P160" s="5">
        <v>41996.0</v>
      </c>
      <c r="Q160" s="3" t="s">
        <v>42</v>
      </c>
    </row>
    <row r="161" ht="22.5" customHeight="1">
      <c r="A161" s="2">
        <v>2013.0</v>
      </c>
      <c r="B161" s="3" t="s">
        <v>182</v>
      </c>
      <c r="C161" s="3" t="s">
        <v>183</v>
      </c>
      <c r="D161" s="4" t="s">
        <v>194</v>
      </c>
      <c r="E161" s="3" t="s">
        <v>20</v>
      </c>
      <c r="F161" s="3" t="s">
        <v>21</v>
      </c>
      <c r="G161" s="3" t="s">
        <v>320</v>
      </c>
      <c r="H161" s="4" t="s">
        <v>23</v>
      </c>
      <c r="I161" s="2">
        <v>49.0</v>
      </c>
      <c r="J161" s="2">
        <v>41481.0</v>
      </c>
      <c r="K161" s="3" t="s">
        <v>36</v>
      </c>
      <c r="L161" s="3" t="s">
        <v>24</v>
      </c>
      <c r="M161" s="4" t="s">
        <v>143</v>
      </c>
      <c r="N161" s="2">
        <v>11150.0</v>
      </c>
      <c r="O161" s="2">
        <v>11500.0</v>
      </c>
      <c r="P161" s="5">
        <v>41996.0</v>
      </c>
      <c r="Q161" s="3" t="s">
        <v>42</v>
      </c>
    </row>
    <row r="162" ht="22.5" customHeight="1">
      <c r="A162" s="2">
        <v>2013.0</v>
      </c>
      <c r="B162" s="3" t="s">
        <v>182</v>
      </c>
      <c r="C162" s="3" t="s">
        <v>238</v>
      </c>
      <c r="D162" s="4" t="s">
        <v>239</v>
      </c>
      <c r="E162" s="3" t="s">
        <v>20</v>
      </c>
      <c r="F162" s="3" t="s">
        <v>21</v>
      </c>
      <c r="G162" s="3" t="s">
        <v>321</v>
      </c>
      <c r="H162" s="4" t="s">
        <v>23</v>
      </c>
      <c r="I162" s="2">
        <v>41.0</v>
      </c>
      <c r="J162" s="2">
        <v>7755.0</v>
      </c>
      <c r="K162" s="3" t="s">
        <v>25</v>
      </c>
      <c r="L162" s="3" t="s">
        <v>25</v>
      </c>
      <c r="M162" s="4" t="s">
        <v>193</v>
      </c>
      <c r="N162" s="2">
        <v>35500.0</v>
      </c>
      <c r="O162" s="2">
        <v>36000.0</v>
      </c>
      <c r="P162" s="5">
        <v>42003.0</v>
      </c>
      <c r="Q162" s="3" t="s">
        <v>42</v>
      </c>
    </row>
    <row r="163" ht="22.5" customHeight="1">
      <c r="A163" s="2">
        <v>2013.0</v>
      </c>
      <c r="B163" s="3" t="s">
        <v>182</v>
      </c>
      <c r="C163" s="3" t="s">
        <v>210</v>
      </c>
      <c r="D163" s="4" t="s">
        <v>194</v>
      </c>
      <c r="E163" s="3" t="s">
        <v>20</v>
      </c>
      <c r="F163" s="3" t="s">
        <v>21</v>
      </c>
      <c r="G163" s="3" t="s">
        <v>322</v>
      </c>
      <c r="H163" s="4" t="s">
        <v>23</v>
      </c>
      <c r="I163" s="2">
        <v>3.0</v>
      </c>
      <c r="J163" s="2">
        <v>37060.0</v>
      </c>
      <c r="K163" s="3" t="s">
        <v>167</v>
      </c>
      <c r="L163" s="3" t="s">
        <v>24</v>
      </c>
      <c r="M163" s="4" t="s">
        <v>63</v>
      </c>
      <c r="N163" s="2">
        <v>12350.0</v>
      </c>
      <c r="O163" s="2">
        <v>10100.0</v>
      </c>
      <c r="P163" s="5">
        <v>42003.0</v>
      </c>
      <c r="Q163" s="3" t="s">
        <v>42</v>
      </c>
    </row>
    <row r="164" ht="22.5" customHeight="1">
      <c r="A164" s="2">
        <v>2013.0</v>
      </c>
      <c r="B164" s="3" t="s">
        <v>182</v>
      </c>
      <c r="C164" s="3" t="s">
        <v>210</v>
      </c>
      <c r="D164" s="4" t="s">
        <v>194</v>
      </c>
      <c r="E164" s="3" t="s">
        <v>20</v>
      </c>
      <c r="F164" s="3" t="s">
        <v>21</v>
      </c>
      <c r="G164" s="3" t="s">
        <v>323</v>
      </c>
      <c r="H164" s="4" t="s">
        <v>23</v>
      </c>
      <c r="I164" s="2">
        <v>34.0</v>
      </c>
      <c r="J164" s="2">
        <v>50160.0</v>
      </c>
      <c r="K164" s="3" t="s">
        <v>167</v>
      </c>
      <c r="L164" s="3" t="s">
        <v>24</v>
      </c>
      <c r="M164" s="4" t="s">
        <v>143</v>
      </c>
      <c r="N164" s="2">
        <v>11500.0</v>
      </c>
      <c r="O164" s="2">
        <v>11900.0</v>
      </c>
      <c r="P164" s="5">
        <v>42004.0</v>
      </c>
      <c r="Q164" s="3" t="s">
        <v>84</v>
      </c>
    </row>
    <row r="165" ht="22.5" customHeight="1">
      <c r="A165" s="2">
        <v>2013.0</v>
      </c>
      <c r="B165" s="3" t="s">
        <v>182</v>
      </c>
      <c r="C165" s="3" t="s">
        <v>186</v>
      </c>
      <c r="D165" s="4" t="s">
        <v>202</v>
      </c>
      <c r="E165" s="3" t="s">
        <v>30</v>
      </c>
      <c r="F165" s="3" t="s">
        <v>21</v>
      </c>
      <c r="G165" s="3" t="s">
        <v>324</v>
      </c>
      <c r="H165" s="4" t="s">
        <v>23</v>
      </c>
      <c r="I165" s="2">
        <v>43.0</v>
      </c>
      <c r="J165" s="2">
        <v>41783.0</v>
      </c>
      <c r="K165" s="3" t="s">
        <v>316</v>
      </c>
      <c r="L165" s="3" t="s">
        <v>181</v>
      </c>
      <c r="M165" s="4" t="s">
        <v>143</v>
      </c>
      <c r="N165" s="2">
        <v>17600.0</v>
      </c>
      <c r="O165" s="2">
        <v>17400.0</v>
      </c>
      <c r="P165" s="5">
        <v>42004.0</v>
      </c>
      <c r="Q165" s="3" t="s">
        <v>84</v>
      </c>
    </row>
    <row r="166" ht="22.5" customHeight="1">
      <c r="A166" s="2">
        <v>2013.0</v>
      </c>
      <c r="B166" s="3" t="s">
        <v>182</v>
      </c>
      <c r="C166" s="3" t="s">
        <v>210</v>
      </c>
      <c r="D166" s="4" t="s">
        <v>187</v>
      </c>
      <c r="E166" s="3" t="s">
        <v>20</v>
      </c>
      <c r="F166" s="3" t="s">
        <v>21</v>
      </c>
      <c r="G166" s="3" t="s">
        <v>325</v>
      </c>
      <c r="H166" s="4" t="s">
        <v>23</v>
      </c>
      <c r="I166" s="2">
        <v>37.0</v>
      </c>
      <c r="J166" s="2">
        <v>35428.0</v>
      </c>
      <c r="K166" s="3" t="s">
        <v>25</v>
      </c>
      <c r="L166" s="3" t="s">
        <v>181</v>
      </c>
      <c r="M166" s="4" t="s">
        <v>196</v>
      </c>
      <c r="N166" s="2">
        <v>16000.0</v>
      </c>
      <c r="O166" s="2">
        <v>16200.0</v>
      </c>
      <c r="P166" s="5">
        <v>42017.0</v>
      </c>
      <c r="Q166" s="3" t="s">
        <v>42</v>
      </c>
    </row>
    <row r="167" ht="22.5" customHeight="1">
      <c r="A167" s="2">
        <v>2013.0</v>
      </c>
      <c r="B167" s="3" t="s">
        <v>182</v>
      </c>
      <c r="C167" s="3" t="s">
        <v>238</v>
      </c>
      <c r="D167" s="4" t="s">
        <v>326</v>
      </c>
      <c r="E167" s="3" t="s">
        <v>20</v>
      </c>
      <c r="F167" s="3" t="s">
        <v>21</v>
      </c>
      <c r="G167" s="3" t="s">
        <v>327</v>
      </c>
      <c r="H167" s="4" t="s">
        <v>23</v>
      </c>
      <c r="I167" s="2">
        <v>41.0</v>
      </c>
      <c r="J167" s="2">
        <v>22961.0</v>
      </c>
      <c r="K167" s="3" t="s">
        <v>24</v>
      </c>
      <c r="L167" s="3" t="s">
        <v>25</v>
      </c>
      <c r="M167" s="4" t="s">
        <v>189</v>
      </c>
      <c r="N167" s="2">
        <v>31500.0</v>
      </c>
      <c r="O167" s="2">
        <v>25000.0</v>
      </c>
      <c r="P167" s="5">
        <v>42017.0</v>
      </c>
      <c r="Q167" s="3" t="s">
        <v>42</v>
      </c>
    </row>
    <row r="168" ht="22.5" customHeight="1">
      <c r="A168" s="2">
        <v>2013.0</v>
      </c>
      <c r="B168" s="3" t="s">
        <v>182</v>
      </c>
      <c r="C168" s="3" t="s">
        <v>183</v>
      </c>
      <c r="D168" s="4" t="s">
        <v>194</v>
      </c>
      <c r="E168" s="3" t="s">
        <v>20</v>
      </c>
      <c r="F168" s="3" t="s">
        <v>21</v>
      </c>
      <c r="G168" s="3" t="s">
        <v>328</v>
      </c>
      <c r="H168" s="4" t="s">
        <v>23</v>
      </c>
      <c r="I168" s="2">
        <v>1.0</v>
      </c>
      <c r="J168" s="2">
        <v>24120.0</v>
      </c>
      <c r="K168" s="3" t="s">
        <v>173</v>
      </c>
      <c r="L168" s="3" t="s">
        <v>181</v>
      </c>
      <c r="M168" s="4" t="s">
        <v>196</v>
      </c>
      <c r="N168" s="2">
        <v>11950.0</v>
      </c>
      <c r="O168" s="2">
        <v>5200.0</v>
      </c>
      <c r="P168" s="5">
        <v>42017.0</v>
      </c>
      <c r="Q168" s="3" t="s">
        <v>42</v>
      </c>
    </row>
    <row r="169" ht="22.5" customHeight="1">
      <c r="A169" s="2">
        <v>2015.0</v>
      </c>
      <c r="B169" s="3" t="s">
        <v>182</v>
      </c>
      <c r="C169" s="3" t="s">
        <v>183</v>
      </c>
      <c r="D169" s="4" t="s">
        <v>178</v>
      </c>
      <c r="E169" s="3" t="s">
        <v>20</v>
      </c>
      <c r="F169" s="3" t="s">
        <v>21</v>
      </c>
      <c r="G169" s="3" t="s">
        <v>329</v>
      </c>
      <c r="H169" s="4" t="s">
        <v>23</v>
      </c>
      <c r="I169" s="2">
        <v>2.0</v>
      </c>
      <c r="J169" s="2">
        <v>10551.0</v>
      </c>
      <c r="K169" s="3" t="s">
        <v>139</v>
      </c>
      <c r="L169" s="3" t="s">
        <v>24</v>
      </c>
      <c r="M169" s="4" t="s">
        <v>63</v>
      </c>
      <c r="N169" s="2">
        <v>13850.0</v>
      </c>
      <c r="O169" s="2">
        <v>10600.0</v>
      </c>
      <c r="P169" s="5">
        <v>42017.0</v>
      </c>
      <c r="Q169" s="3" t="s">
        <v>42</v>
      </c>
    </row>
    <row r="170" ht="22.5" customHeight="1">
      <c r="A170" s="2">
        <v>2013.0</v>
      </c>
      <c r="B170" s="3" t="s">
        <v>182</v>
      </c>
      <c r="C170" s="3" t="s">
        <v>217</v>
      </c>
      <c r="D170" s="4" t="s">
        <v>221</v>
      </c>
      <c r="E170" s="3" t="s">
        <v>217</v>
      </c>
      <c r="F170" s="3" t="s">
        <v>21</v>
      </c>
      <c r="G170" s="3" t="s">
        <v>330</v>
      </c>
      <c r="H170" s="4" t="s">
        <v>23</v>
      </c>
      <c r="I170" s="2">
        <v>1.0</v>
      </c>
      <c r="J170" s="2">
        <v>999999.0</v>
      </c>
      <c r="K170" s="3" t="s">
        <v>167</v>
      </c>
      <c r="L170" s="3" t="s">
        <v>24</v>
      </c>
      <c r="M170" s="4" t="s">
        <v>196</v>
      </c>
      <c r="N170" s="2">
        <v>8025.0</v>
      </c>
      <c r="O170" s="2">
        <v>2500.0</v>
      </c>
      <c r="P170" s="5">
        <v>42031.0</v>
      </c>
      <c r="Q170" s="3" t="s">
        <v>42</v>
      </c>
    </row>
    <row r="171" ht="22.5" customHeight="1">
      <c r="A171" s="2">
        <v>2013.0</v>
      </c>
      <c r="B171" s="3" t="s">
        <v>182</v>
      </c>
      <c r="C171" s="3" t="s">
        <v>200</v>
      </c>
      <c r="D171" s="4" t="s">
        <v>187</v>
      </c>
      <c r="E171" s="3" t="s">
        <v>20</v>
      </c>
      <c r="F171" s="3" t="s">
        <v>21</v>
      </c>
      <c r="G171" s="3" t="s">
        <v>331</v>
      </c>
      <c r="H171" s="4" t="s">
        <v>23</v>
      </c>
      <c r="I171" s="2">
        <v>21.0</v>
      </c>
      <c r="J171" s="2">
        <v>11099.0</v>
      </c>
      <c r="K171" s="3" t="s">
        <v>36</v>
      </c>
      <c r="L171" s="3" t="s">
        <v>24</v>
      </c>
      <c r="M171" s="4" t="s">
        <v>193</v>
      </c>
      <c r="N171" s="2">
        <v>19650.0</v>
      </c>
      <c r="O171" s="2">
        <v>16500.0</v>
      </c>
      <c r="P171" s="5">
        <v>42031.0</v>
      </c>
      <c r="Q171" s="3" t="s">
        <v>42</v>
      </c>
    </row>
    <row r="172" ht="22.5" customHeight="1">
      <c r="A172" s="2">
        <v>2013.0</v>
      </c>
      <c r="B172" s="3" t="s">
        <v>182</v>
      </c>
      <c r="C172" s="3" t="s">
        <v>210</v>
      </c>
      <c r="D172" s="4" t="s">
        <v>194</v>
      </c>
      <c r="E172" s="3" t="s">
        <v>20</v>
      </c>
      <c r="F172" s="3" t="s">
        <v>21</v>
      </c>
      <c r="G172" s="3" t="s">
        <v>332</v>
      </c>
      <c r="H172" s="4" t="s">
        <v>23</v>
      </c>
      <c r="I172" s="2">
        <v>37.0</v>
      </c>
      <c r="J172" s="2">
        <v>37154.0</v>
      </c>
      <c r="K172" s="3" t="s">
        <v>25</v>
      </c>
      <c r="L172" s="3" t="s">
        <v>24</v>
      </c>
      <c r="M172" s="4" t="s">
        <v>196</v>
      </c>
      <c r="N172" s="2">
        <v>12400.0</v>
      </c>
      <c r="O172" s="2">
        <v>12100.0</v>
      </c>
      <c r="P172" s="5">
        <v>42031.0</v>
      </c>
      <c r="Q172" s="3" t="s">
        <v>42</v>
      </c>
    </row>
    <row r="173" ht="22.5" customHeight="1">
      <c r="A173" s="2">
        <v>2013.0</v>
      </c>
      <c r="B173" s="3" t="s">
        <v>182</v>
      </c>
      <c r="C173" s="3" t="s">
        <v>183</v>
      </c>
      <c r="D173" s="4" t="s">
        <v>187</v>
      </c>
      <c r="E173" s="3" t="s">
        <v>20</v>
      </c>
      <c r="F173" s="3" t="s">
        <v>21</v>
      </c>
      <c r="G173" s="3" t="s">
        <v>333</v>
      </c>
      <c r="H173" s="4" t="s">
        <v>23</v>
      </c>
      <c r="I173" s="2">
        <v>31.0</v>
      </c>
      <c r="J173" s="2">
        <v>13505.0</v>
      </c>
      <c r="K173" s="3" t="s">
        <v>139</v>
      </c>
      <c r="L173" s="3" t="s">
        <v>230</v>
      </c>
      <c r="M173" s="4" t="s">
        <v>193</v>
      </c>
      <c r="N173" s="2">
        <v>14550.0</v>
      </c>
      <c r="O173" s="2">
        <v>13800.0</v>
      </c>
      <c r="P173" s="5">
        <v>42031.0</v>
      </c>
      <c r="Q173" s="3" t="s">
        <v>42</v>
      </c>
    </row>
    <row r="174" ht="22.5" customHeight="1">
      <c r="A174" s="2">
        <v>2013.0</v>
      </c>
      <c r="B174" s="3" t="s">
        <v>182</v>
      </c>
      <c r="C174" s="3" t="s">
        <v>210</v>
      </c>
      <c r="D174" s="4" t="s">
        <v>194</v>
      </c>
      <c r="E174" s="3" t="s">
        <v>20</v>
      </c>
      <c r="F174" s="3" t="s">
        <v>21</v>
      </c>
      <c r="G174" s="3" t="s">
        <v>334</v>
      </c>
      <c r="H174" s="4" t="s">
        <v>23</v>
      </c>
      <c r="I174" s="2">
        <v>38.0</v>
      </c>
      <c r="J174" s="2">
        <v>47516.0</v>
      </c>
      <c r="K174" s="3" t="s">
        <v>25</v>
      </c>
      <c r="L174" s="3" t="s">
        <v>181</v>
      </c>
      <c r="M174" s="4" t="s">
        <v>196</v>
      </c>
      <c r="N174" s="2">
        <v>11850.0</v>
      </c>
      <c r="O174" s="2">
        <v>11700.0</v>
      </c>
      <c r="P174" s="5">
        <v>42031.0</v>
      </c>
      <c r="Q174" s="3" t="s">
        <v>42</v>
      </c>
    </row>
    <row r="175" ht="22.5" customHeight="1">
      <c r="A175" s="2">
        <v>2013.0</v>
      </c>
      <c r="B175" s="3" t="s">
        <v>182</v>
      </c>
      <c r="C175" s="3" t="s">
        <v>210</v>
      </c>
      <c r="D175" s="4" t="s">
        <v>187</v>
      </c>
      <c r="E175" s="3" t="s">
        <v>20</v>
      </c>
      <c r="F175" s="3" t="s">
        <v>21</v>
      </c>
      <c r="G175" s="3" t="s">
        <v>335</v>
      </c>
      <c r="H175" s="4" t="s">
        <v>23</v>
      </c>
      <c r="I175" s="2">
        <v>39.0</v>
      </c>
      <c r="J175" s="2">
        <v>45991.0</v>
      </c>
      <c r="K175" s="3" t="s">
        <v>24</v>
      </c>
      <c r="L175" s="3" t="s">
        <v>24</v>
      </c>
      <c r="M175" s="4" t="s">
        <v>193</v>
      </c>
      <c r="N175" s="2">
        <v>15750.0</v>
      </c>
      <c r="O175" s="2">
        <v>17200.0</v>
      </c>
      <c r="P175" s="5">
        <v>42052.0</v>
      </c>
      <c r="Q175" s="3" t="s">
        <v>42</v>
      </c>
    </row>
    <row r="176" ht="22.5" customHeight="1">
      <c r="A176" s="2">
        <v>2013.0</v>
      </c>
      <c r="B176" s="3" t="s">
        <v>336</v>
      </c>
      <c r="C176" s="3" t="s">
        <v>337</v>
      </c>
      <c r="D176" s="4" t="s">
        <v>338</v>
      </c>
      <c r="E176" s="3" t="s">
        <v>337</v>
      </c>
      <c r="F176" s="3" t="s">
        <v>21</v>
      </c>
      <c r="G176" s="3" t="s">
        <v>339</v>
      </c>
      <c r="H176" s="4" t="s">
        <v>23</v>
      </c>
      <c r="I176" s="2">
        <v>25.0</v>
      </c>
      <c r="J176" s="2">
        <v>10929.0</v>
      </c>
      <c r="K176" s="3" t="s">
        <v>32</v>
      </c>
      <c r="L176" s="3" t="s">
        <v>24</v>
      </c>
      <c r="M176" s="4" t="s">
        <v>340</v>
      </c>
      <c r="N176" s="2">
        <v>24700.0</v>
      </c>
      <c r="O176" s="2">
        <v>21000.0</v>
      </c>
      <c r="P176" s="5">
        <v>41989.0</v>
      </c>
      <c r="Q176" s="3" t="s">
        <v>42</v>
      </c>
    </row>
    <row r="177" ht="22.5" customHeight="1">
      <c r="A177" s="2">
        <v>2013.0</v>
      </c>
      <c r="B177" s="3" t="s">
        <v>336</v>
      </c>
      <c r="C177" s="3" t="s">
        <v>337</v>
      </c>
      <c r="D177" s="4" t="s">
        <v>338</v>
      </c>
      <c r="E177" s="3" t="s">
        <v>337</v>
      </c>
      <c r="F177" s="3" t="s">
        <v>21</v>
      </c>
      <c r="G177" s="3" t="s">
        <v>341</v>
      </c>
      <c r="H177" s="4" t="s">
        <v>23</v>
      </c>
      <c r="I177" s="2">
        <v>19.0</v>
      </c>
      <c r="J177" s="2">
        <v>18420.0</v>
      </c>
      <c r="K177" s="3" t="s">
        <v>24</v>
      </c>
      <c r="L177" s="3" t="s">
        <v>181</v>
      </c>
      <c r="M177" s="4" t="s">
        <v>340</v>
      </c>
      <c r="N177" s="2">
        <v>23700.0</v>
      </c>
      <c r="O177" s="2">
        <v>18250.0</v>
      </c>
      <c r="P177" s="5">
        <v>41989.0</v>
      </c>
      <c r="Q177" s="3" t="s">
        <v>42</v>
      </c>
    </row>
    <row r="178" ht="22.5" customHeight="1">
      <c r="A178" s="2">
        <v>2013.0</v>
      </c>
      <c r="B178" s="3" t="s">
        <v>336</v>
      </c>
      <c r="C178" s="3" t="s">
        <v>342</v>
      </c>
      <c r="D178" s="4" t="s">
        <v>343</v>
      </c>
      <c r="E178" s="3" t="s">
        <v>342</v>
      </c>
      <c r="F178" s="3" t="s">
        <v>21</v>
      </c>
      <c r="G178" s="3" t="s">
        <v>344</v>
      </c>
      <c r="H178" s="4" t="s">
        <v>23</v>
      </c>
      <c r="I178" s="2">
        <v>26.0</v>
      </c>
      <c r="J178" s="2">
        <v>12735.0</v>
      </c>
      <c r="K178" s="3" t="s">
        <v>25</v>
      </c>
      <c r="L178" s="3" t="s">
        <v>25</v>
      </c>
      <c r="M178" s="4" t="s">
        <v>340</v>
      </c>
      <c r="N178" s="2">
        <v>26300.0</v>
      </c>
      <c r="O178" s="2">
        <v>22500.0</v>
      </c>
      <c r="P178" s="5">
        <v>41989.0</v>
      </c>
      <c r="Q178" s="3" t="s">
        <v>42</v>
      </c>
    </row>
    <row r="179" ht="22.5" customHeight="1">
      <c r="A179" s="2">
        <v>2013.0</v>
      </c>
      <c r="B179" s="3" t="s">
        <v>336</v>
      </c>
      <c r="C179" s="3" t="s">
        <v>337</v>
      </c>
      <c r="D179" s="4" t="s">
        <v>338</v>
      </c>
      <c r="E179" s="3" t="s">
        <v>337</v>
      </c>
      <c r="F179" s="3" t="s">
        <v>21</v>
      </c>
      <c r="G179" s="3" t="s">
        <v>345</v>
      </c>
      <c r="H179" s="4" t="s">
        <v>23</v>
      </c>
      <c r="I179" s="2">
        <v>27.0</v>
      </c>
      <c r="J179" s="2">
        <v>26792.0</v>
      </c>
      <c r="K179" s="3" t="s">
        <v>24</v>
      </c>
      <c r="L179" s="3" t="s">
        <v>24</v>
      </c>
      <c r="M179" s="4" t="s">
        <v>340</v>
      </c>
      <c r="N179" s="2">
        <v>22600.0</v>
      </c>
      <c r="O179" s="2">
        <v>18000.0</v>
      </c>
      <c r="P179" s="5">
        <v>41989.0</v>
      </c>
      <c r="Q179" s="3" t="s">
        <v>42</v>
      </c>
    </row>
    <row r="180" ht="22.5" customHeight="1">
      <c r="A180" s="2">
        <v>2013.0</v>
      </c>
      <c r="B180" s="3" t="s">
        <v>336</v>
      </c>
      <c r="C180" s="3" t="s">
        <v>342</v>
      </c>
      <c r="D180" s="4" t="s">
        <v>343</v>
      </c>
      <c r="E180" s="3" t="s">
        <v>342</v>
      </c>
      <c r="F180" s="3" t="s">
        <v>21</v>
      </c>
      <c r="G180" s="3" t="s">
        <v>346</v>
      </c>
      <c r="H180" s="4" t="s">
        <v>23</v>
      </c>
      <c r="I180" s="2">
        <v>45.0</v>
      </c>
      <c r="J180" s="2">
        <v>16219.0</v>
      </c>
      <c r="K180" s="3" t="s">
        <v>24</v>
      </c>
      <c r="L180" s="3" t="s">
        <v>25</v>
      </c>
      <c r="M180" s="4" t="s">
        <v>340</v>
      </c>
      <c r="N180" s="2">
        <v>25700.0</v>
      </c>
      <c r="O180" s="2">
        <v>26500.0</v>
      </c>
      <c r="P180" s="5">
        <v>41989.0</v>
      </c>
      <c r="Q180" s="3" t="s">
        <v>42</v>
      </c>
    </row>
    <row r="181" ht="22.5" customHeight="1">
      <c r="A181" s="2">
        <v>2013.0</v>
      </c>
      <c r="B181" s="3" t="s">
        <v>336</v>
      </c>
      <c r="C181" s="3" t="s">
        <v>337</v>
      </c>
      <c r="D181" s="4" t="s">
        <v>347</v>
      </c>
      <c r="E181" s="3" t="s">
        <v>337</v>
      </c>
      <c r="F181" s="3" t="s">
        <v>21</v>
      </c>
      <c r="G181" s="3" t="s">
        <v>348</v>
      </c>
      <c r="H181" s="4" t="s">
        <v>23</v>
      </c>
      <c r="I181" s="2">
        <v>29.0</v>
      </c>
      <c r="J181" s="2">
        <v>42887.0</v>
      </c>
      <c r="K181" s="3" t="s">
        <v>25</v>
      </c>
      <c r="L181" s="3" t="s">
        <v>25</v>
      </c>
      <c r="M181" s="4" t="s">
        <v>83</v>
      </c>
      <c r="N181" s="2">
        <v>21300.0</v>
      </c>
      <c r="O181" s="2">
        <v>19900.0</v>
      </c>
      <c r="P181" s="5">
        <v>41989.0</v>
      </c>
      <c r="Q181" s="3" t="s">
        <v>42</v>
      </c>
    </row>
    <row r="182" ht="22.5" customHeight="1">
      <c r="A182" s="2">
        <v>2013.0</v>
      </c>
      <c r="B182" s="3" t="s">
        <v>336</v>
      </c>
      <c r="C182" s="3" t="s">
        <v>337</v>
      </c>
      <c r="D182" s="4" t="s">
        <v>338</v>
      </c>
      <c r="E182" s="3" t="s">
        <v>337</v>
      </c>
      <c r="F182" s="3" t="s">
        <v>21</v>
      </c>
      <c r="G182" s="3" t="s">
        <v>349</v>
      </c>
      <c r="H182" s="4" t="s">
        <v>23</v>
      </c>
      <c r="I182" s="2">
        <v>24.0</v>
      </c>
      <c r="J182" s="2">
        <v>42547.0</v>
      </c>
      <c r="K182" s="3" t="s">
        <v>25</v>
      </c>
      <c r="L182" s="3" t="s">
        <v>25</v>
      </c>
      <c r="M182" s="4" t="s">
        <v>340</v>
      </c>
      <c r="N182" s="2">
        <v>20500.0</v>
      </c>
      <c r="O182" s="2">
        <v>17250.0</v>
      </c>
      <c r="P182" s="5">
        <v>41989.0</v>
      </c>
      <c r="Q182" s="3" t="s">
        <v>42</v>
      </c>
    </row>
    <row r="183" ht="22.5" customHeight="1">
      <c r="A183" s="2">
        <v>2013.0</v>
      </c>
      <c r="B183" s="3" t="s">
        <v>336</v>
      </c>
      <c r="C183" s="3" t="s">
        <v>337</v>
      </c>
      <c r="D183" s="4" t="s">
        <v>338</v>
      </c>
      <c r="E183" s="3" t="s">
        <v>337</v>
      </c>
      <c r="F183" s="3" t="s">
        <v>21</v>
      </c>
      <c r="G183" s="3" t="s">
        <v>350</v>
      </c>
      <c r="H183" s="4" t="s">
        <v>23</v>
      </c>
      <c r="I183" s="2">
        <v>41.0</v>
      </c>
      <c r="J183" s="2">
        <v>25859.0</v>
      </c>
      <c r="K183" s="3" t="s">
        <v>167</v>
      </c>
      <c r="L183" s="3" t="s">
        <v>25</v>
      </c>
      <c r="M183" s="4" t="s">
        <v>351</v>
      </c>
      <c r="N183" s="2">
        <v>22700.0</v>
      </c>
      <c r="O183" s="2">
        <v>21750.0</v>
      </c>
      <c r="P183" s="5">
        <v>41990.0</v>
      </c>
      <c r="Q183" s="3" t="s">
        <v>84</v>
      </c>
    </row>
    <row r="184" ht="22.5" customHeight="1">
      <c r="A184" s="2">
        <v>2013.0</v>
      </c>
      <c r="B184" s="3" t="s">
        <v>336</v>
      </c>
      <c r="C184" s="3" t="s">
        <v>337</v>
      </c>
      <c r="D184" s="4" t="s">
        <v>338</v>
      </c>
      <c r="E184" s="3" t="s">
        <v>337</v>
      </c>
      <c r="F184" s="3" t="s">
        <v>21</v>
      </c>
      <c r="G184" s="3" t="s">
        <v>352</v>
      </c>
      <c r="H184" s="4" t="s">
        <v>23</v>
      </c>
      <c r="I184" s="2">
        <v>45.0</v>
      </c>
      <c r="J184" s="2">
        <v>24971.0</v>
      </c>
      <c r="K184" s="3" t="s">
        <v>24</v>
      </c>
      <c r="L184" s="3" t="s">
        <v>25</v>
      </c>
      <c r="M184" s="4" t="s">
        <v>340</v>
      </c>
      <c r="N184" s="2">
        <v>22900.0</v>
      </c>
      <c r="O184" s="2">
        <v>21250.0</v>
      </c>
      <c r="P184" s="5">
        <v>41990.0</v>
      </c>
      <c r="Q184" s="3" t="s">
        <v>84</v>
      </c>
    </row>
    <row r="185" ht="22.5" customHeight="1">
      <c r="A185" s="2">
        <v>2013.0</v>
      </c>
      <c r="B185" s="3" t="s">
        <v>336</v>
      </c>
      <c r="C185" s="3" t="s">
        <v>337</v>
      </c>
      <c r="D185" s="4" t="s">
        <v>338</v>
      </c>
      <c r="E185" s="3" t="s">
        <v>337</v>
      </c>
      <c r="F185" s="3" t="s">
        <v>21</v>
      </c>
      <c r="G185" s="3" t="s">
        <v>353</v>
      </c>
      <c r="H185" s="4" t="s">
        <v>23</v>
      </c>
      <c r="I185" s="2">
        <v>21.0</v>
      </c>
      <c r="J185" s="2">
        <v>23507.0</v>
      </c>
      <c r="K185" s="3" t="s">
        <v>24</v>
      </c>
      <c r="L185" s="3" t="s">
        <v>25</v>
      </c>
      <c r="M185" s="4" t="s">
        <v>340</v>
      </c>
      <c r="N185" s="2">
        <v>23000.0</v>
      </c>
      <c r="O185" s="2">
        <v>21000.0</v>
      </c>
      <c r="P185" s="5">
        <v>41990.0</v>
      </c>
      <c r="Q185" s="3" t="s">
        <v>84</v>
      </c>
    </row>
    <row r="186" ht="22.5" customHeight="1">
      <c r="A186" s="2">
        <v>2013.0</v>
      </c>
      <c r="B186" s="3" t="s">
        <v>336</v>
      </c>
      <c r="C186" s="3" t="s">
        <v>337</v>
      </c>
      <c r="D186" s="4" t="s">
        <v>338</v>
      </c>
      <c r="E186" s="3" t="s">
        <v>337</v>
      </c>
      <c r="F186" s="3" t="s">
        <v>21</v>
      </c>
      <c r="G186" s="3" t="s">
        <v>354</v>
      </c>
      <c r="H186" s="4" t="s">
        <v>23</v>
      </c>
      <c r="I186" s="2">
        <v>44.0</v>
      </c>
      <c r="J186" s="2">
        <v>19551.0</v>
      </c>
      <c r="K186" s="3" t="s">
        <v>32</v>
      </c>
      <c r="L186" s="3" t="s">
        <v>25</v>
      </c>
      <c r="M186" s="4" t="s">
        <v>340</v>
      </c>
      <c r="N186" s="2">
        <v>23300.0</v>
      </c>
      <c r="O186" s="2">
        <v>25000.0</v>
      </c>
      <c r="P186" s="5">
        <v>41990.0</v>
      </c>
      <c r="Q186" s="3" t="s">
        <v>84</v>
      </c>
    </row>
    <row r="187" ht="22.5" customHeight="1">
      <c r="A187" s="2">
        <v>2013.0</v>
      </c>
      <c r="B187" s="3" t="s">
        <v>336</v>
      </c>
      <c r="C187" s="3" t="s">
        <v>337</v>
      </c>
      <c r="D187" s="4" t="s">
        <v>338</v>
      </c>
      <c r="E187" s="3" t="s">
        <v>337</v>
      </c>
      <c r="F187" s="3" t="s">
        <v>21</v>
      </c>
      <c r="G187" s="3" t="s">
        <v>355</v>
      </c>
      <c r="H187" s="4" t="s">
        <v>23</v>
      </c>
      <c r="I187" s="2">
        <v>44.0</v>
      </c>
      <c r="J187" s="2">
        <v>23156.0</v>
      </c>
      <c r="K187" s="3" t="s">
        <v>32</v>
      </c>
      <c r="L187" s="3" t="s">
        <v>25</v>
      </c>
      <c r="M187" s="4" t="s">
        <v>340</v>
      </c>
      <c r="N187" s="2">
        <v>23100.0</v>
      </c>
      <c r="O187" s="2">
        <v>23000.0</v>
      </c>
      <c r="P187" s="5">
        <v>41990.0</v>
      </c>
      <c r="Q187" s="3" t="s">
        <v>84</v>
      </c>
    </row>
    <row r="188" ht="22.5" customHeight="1">
      <c r="A188" s="2">
        <v>2013.0</v>
      </c>
      <c r="B188" s="3" t="s">
        <v>336</v>
      </c>
      <c r="C188" s="3" t="s">
        <v>342</v>
      </c>
      <c r="D188" s="4" t="s">
        <v>343</v>
      </c>
      <c r="E188" s="3" t="s">
        <v>342</v>
      </c>
      <c r="F188" s="3" t="s">
        <v>21</v>
      </c>
      <c r="G188" s="3" t="s">
        <v>356</v>
      </c>
      <c r="H188" s="4" t="s">
        <v>23</v>
      </c>
      <c r="I188" s="2">
        <v>48.0</v>
      </c>
      <c r="J188" s="2">
        <v>13661.0</v>
      </c>
      <c r="K188" s="3" t="s">
        <v>24</v>
      </c>
      <c r="L188" s="3" t="s">
        <v>25</v>
      </c>
      <c r="M188" s="4" t="s">
        <v>340</v>
      </c>
      <c r="N188" s="2">
        <v>26100.0</v>
      </c>
      <c r="O188" s="2">
        <v>26500.0</v>
      </c>
      <c r="P188" s="5">
        <v>41990.0</v>
      </c>
      <c r="Q188" s="3" t="s">
        <v>84</v>
      </c>
    </row>
    <row r="189" ht="22.5" customHeight="1">
      <c r="A189" s="2">
        <v>2013.0</v>
      </c>
      <c r="B189" s="3" t="s">
        <v>336</v>
      </c>
      <c r="C189" s="3" t="s">
        <v>337</v>
      </c>
      <c r="D189" s="4" t="s">
        <v>338</v>
      </c>
      <c r="E189" s="3" t="s">
        <v>337</v>
      </c>
      <c r="F189" s="3" t="s">
        <v>21</v>
      </c>
      <c r="G189" s="3" t="s">
        <v>357</v>
      </c>
      <c r="H189" s="4" t="s">
        <v>23</v>
      </c>
      <c r="I189" s="2">
        <v>44.0</v>
      </c>
      <c r="J189" s="2">
        <v>17916.0</v>
      </c>
      <c r="K189" s="3" t="s">
        <v>167</v>
      </c>
      <c r="L189" s="3" t="s">
        <v>25</v>
      </c>
      <c r="M189" s="4" t="s">
        <v>340</v>
      </c>
      <c r="N189" s="2">
        <v>23800.0</v>
      </c>
      <c r="O189" s="2">
        <v>24750.0</v>
      </c>
      <c r="P189" s="5">
        <v>41990.0</v>
      </c>
      <c r="Q189" s="3" t="s">
        <v>84</v>
      </c>
    </row>
    <row r="190" ht="22.5" customHeight="1">
      <c r="A190" s="2">
        <v>2013.0</v>
      </c>
      <c r="B190" s="3" t="s">
        <v>336</v>
      </c>
      <c r="C190" s="3" t="s">
        <v>337</v>
      </c>
      <c r="D190" s="4" t="s">
        <v>338</v>
      </c>
      <c r="E190" s="3" t="s">
        <v>337</v>
      </c>
      <c r="F190" s="3" t="s">
        <v>21</v>
      </c>
      <c r="G190" s="3" t="s">
        <v>358</v>
      </c>
      <c r="H190" s="4" t="s">
        <v>23</v>
      </c>
      <c r="I190" s="2">
        <v>45.0</v>
      </c>
      <c r="J190" s="2">
        <v>9373.0</v>
      </c>
      <c r="K190" s="3" t="s">
        <v>25</v>
      </c>
      <c r="L190" s="3" t="s">
        <v>25</v>
      </c>
      <c r="M190" s="4" t="s">
        <v>340</v>
      </c>
      <c r="N190" s="2">
        <v>24900.0</v>
      </c>
      <c r="O190" s="2">
        <v>26250.0</v>
      </c>
      <c r="P190" s="5">
        <v>41990.0</v>
      </c>
      <c r="Q190" s="3" t="s">
        <v>84</v>
      </c>
    </row>
    <row r="191" ht="22.5" customHeight="1">
      <c r="A191" s="2">
        <v>2013.0</v>
      </c>
      <c r="B191" s="3" t="s">
        <v>336</v>
      </c>
      <c r="C191" s="3" t="s">
        <v>337</v>
      </c>
      <c r="D191" s="4" t="s">
        <v>338</v>
      </c>
      <c r="E191" s="3" t="s">
        <v>337</v>
      </c>
      <c r="F191" s="3" t="s">
        <v>21</v>
      </c>
      <c r="G191" s="3" t="s">
        <v>359</v>
      </c>
      <c r="H191" s="4" t="s">
        <v>23</v>
      </c>
      <c r="I191" s="2">
        <v>42.0</v>
      </c>
      <c r="J191" s="2">
        <v>20408.0</v>
      </c>
      <c r="K191" s="3" t="s">
        <v>24</v>
      </c>
      <c r="L191" s="3" t="s">
        <v>25</v>
      </c>
      <c r="M191" s="4" t="s">
        <v>340</v>
      </c>
      <c r="N191" s="2">
        <v>23500.0</v>
      </c>
      <c r="O191" s="2">
        <v>24000.0</v>
      </c>
      <c r="P191" s="5">
        <v>41990.0</v>
      </c>
      <c r="Q191" s="3" t="s">
        <v>84</v>
      </c>
    </row>
    <row r="192" ht="22.5" customHeight="1">
      <c r="A192" s="2">
        <v>2013.0</v>
      </c>
      <c r="B192" s="3" t="s">
        <v>336</v>
      </c>
      <c r="C192" s="3" t="s">
        <v>337</v>
      </c>
      <c r="D192" s="4" t="s">
        <v>338</v>
      </c>
      <c r="E192" s="3" t="s">
        <v>337</v>
      </c>
      <c r="F192" s="3" t="s">
        <v>21</v>
      </c>
      <c r="G192" s="3" t="s">
        <v>360</v>
      </c>
      <c r="H192" s="4" t="s">
        <v>23</v>
      </c>
      <c r="I192" s="2">
        <v>36.0</v>
      </c>
      <c r="J192" s="2">
        <v>36931.0</v>
      </c>
      <c r="K192" s="3" t="s">
        <v>24</v>
      </c>
      <c r="L192" s="3" t="s">
        <v>25</v>
      </c>
      <c r="M192" s="4" t="s">
        <v>340</v>
      </c>
      <c r="N192" s="2">
        <v>21300.0</v>
      </c>
      <c r="O192" s="2">
        <v>22250.0</v>
      </c>
      <c r="P192" s="5">
        <v>41990.0</v>
      </c>
      <c r="Q192" s="3" t="s">
        <v>84</v>
      </c>
    </row>
    <row r="193" ht="22.5" customHeight="1">
      <c r="A193" s="2">
        <v>2013.0</v>
      </c>
      <c r="B193" s="3" t="s">
        <v>336</v>
      </c>
      <c r="C193" s="3" t="s">
        <v>361</v>
      </c>
      <c r="D193" s="4" t="s">
        <v>362</v>
      </c>
      <c r="E193" s="3" t="s">
        <v>30</v>
      </c>
      <c r="F193" s="3" t="s">
        <v>21</v>
      </c>
      <c r="G193" s="3" t="s">
        <v>363</v>
      </c>
      <c r="H193" s="4" t="s">
        <v>23</v>
      </c>
      <c r="I193" s="2">
        <v>37.0</v>
      </c>
      <c r="J193" s="2">
        <v>37738.0</v>
      </c>
      <c r="K193" s="3" t="s">
        <v>24</v>
      </c>
      <c r="L193" s="3" t="s">
        <v>181</v>
      </c>
      <c r="M193" s="4" t="s">
        <v>340</v>
      </c>
      <c r="N193" s="2">
        <v>32000.0</v>
      </c>
      <c r="O193" s="2">
        <v>32250.0</v>
      </c>
      <c r="P193" s="5">
        <v>41990.0</v>
      </c>
      <c r="Q193" s="3" t="s">
        <v>84</v>
      </c>
    </row>
    <row r="194" ht="22.5" customHeight="1">
      <c r="A194" s="2">
        <v>2013.0</v>
      </c>
      <c r="B194" s="3" t="s">
        <v>336</v>
      </c>
      <c r="C194" s="3" t="s">
        <v>342</v>
      </c>
      <c r="D194" s="4" t="s">
        <v>347</v>
      </c>
      <c r="E194" s="3" t="s">
        <v>342</v>
      </c>
      <c r="F194" s="3" t="s">
        <v>21</v>
      </c>
      <c r="G194" s="3" t="s">
        <v>364</v>
      </c>
      <c r="H194" s="4" t="s">
        <v>23</v>
      </c>
      <c r="I194" s="2">
        <v>35.0</v>
      </c>
      <c r="J194" s="2">
        <v>10055.0</v>
      </c>
      <c r="K194" s="3" t="s">
        <v>24</v>
      </c>
      <c r="L194" s="3" t="s">
        <v>25</v>
      </c>
      <c r="M194" s="4" t="s">
        <v>340</v>
      </c>
      <c r="N194" s="2">
        <v>26300.0</v>
      </c>
      <c r="O194" s="2">
        <v>27000.0</v>
      </c>
      <c r="P194" s="5">
        <v>41990.0</v>
      </c>
      <c r="Q194" s="3" t="s">
        <v>84</v>
      </c>
    </row>
    <row r="195" ht="22.5" customHeight="1">
      <c r="A195" s="2">
        <v>2013.0</v>
      </c>
      <c r="B195" s="3" t="s">
        <v>336</v>
      </c>
      <c r="C195" s="3" t="s">
        <v>337</v>
      </c>
      <c r="D195" s="4" t="s">
        <v>338</v>
      </c>
      <c r="E195" s="3" t="s">
        <v>337</v>
      </c>
      <c r="F195" s="3" t="s">
        <v>21</v>
      </c>
      <c r="G195" s="3" t="s">
        <v>365</v>
      </c>
      <c r="H195" s="4" t="s">
        <v>23</v>
      </c>
      <c r="I195" s="2">
        <v>44.0</v>
      </c>
      <c r="J195" s="2">
        <v>48156.0</v>
      </c>
      <c r="K195" s="3" t="s">
        <v>25</v>
      </c>
      <c r="L195" s="3" t="s">
        <v>24</v>
      </c>
      <c r="M195" s="4" t="s">
        <v>340</v>
      </c>
      <c r="N195" s="2">
        <v>19800.0</v>
      </c>
      <c r="O195" s="2">
        <v>22250.0</v>
      </c>
      <c r="P195" s="5">
        <v>41990.0</v>
      </c>
      <c r="Q195" s="3" t="s">
        <v>84</v>
      </c>
    </row>
    <row r="196" ht="22.5" customHeight="1">
      <c r="A196" s="2">
        <v>2013.0</v>
      </c>
      <c r="B196" s="3" t="s">
        <v>336</v>
      </c>
      <c r="C196" s="3" t="s">
        <v>337</v>
      </c>
      <c r="D196" s="4" t="s">
        <v>338</v>
      </c>
      <c r="E196" s="3" t="s">
        <v>337</v>
      </c>
      <c r="F196" s="3" t="s">
        <v>131</v>
      </c>
      <c r="G196" s="3" t="s">
        <v>366</v>
      </c>
      <c r="H196" s="4" t="s">
        <v>23</v>
      </c>
      <c r="I196" s="2">
        <v>43.0</v>
      </c>
      <c r="J196" s="2">
        <v>21898.0</v>
      </c>
      <c r="K196" s="3" t="s">
        <v>24</v>
      </c>
      <c r="L196" s="3" t="s">
        <v>25</v>
      </c>
      <c r="M196" s="4" t="s">
        <v>340</v>
      </c>
      <c r="N196" s="2">
        <v>25400.0</v>
      </c>
      <c r="O196" s="2">
        <v>26250.0</v>
      </c>
      <c r="P196" s="5">
        <v>41990.0</v>
      </c>
      <c r="Q196" s="3" t="s">
        <v>84</v>
      </c>
    </row>
    <row r="197" ht="22.5" customHeight="1">
      <c r="A197" s="2">
        <v>2013.0</v>
      </c>
      <c r="B197" s="3" t="s">
        <v>336</v>
      </c>
      <c r="C197" s="3" t="s">
        <v>342</v>
      </c>
      <c r="D197" s="4" t="s">
        <v>343</v>
      </c>
      <c r="E197" s="3" t="s">
        <v>342</v>
      </c>
      <c r="F197" s="3" t="s">
        <v>21</v>
      </c>
      <c r="G197" s="3" t="s">
        <v>367</v>
      </c>
      <c r="H197" s="4" t="s">
        <v>23</v>
      </c>
      <c r="I197" s="2">
        <v>45.0</v>
      </c>
      <c r="J197" s="2">
        <v>14716.0</v>
      </c>
      <c r="K197" s="3" t="s">
        <v>32</v>
      </c>
      <c r="L197" s="3" t="s">
        <v>25</v>
      </c>
      <c r="M197" s="4" t="s">
        <v>340</v>
      </c>
      <c r="N197" s="2">
        <v>25900.0</v>
      </c>
      <c r="O197" s="2">
        <v>25000.0</v>
      </c>
      <c r="P197" s="5">
        <v>41991.0</v>
      </c>
      <c r="Q197" s="3" t="s">
        <v>27</v>
      </c>
    </row>
    <row r="198" ht="22.5" customHeight="1">
      <c r="A198" s="2">
        <v>2013.0</v>
      </c>
      <c r="B198" s="3" t="s">
        <v>336</v>
      </c>
      <c r="C198" s="3" t="s">
        <v>337</v>
      </c>
      <c r="D198" s="4" t="s">
        <v>338</v>
      </c>
      <c r="E198" s="3" t="s">
        <v>337</v>
      </c>
      <c r="F198" s="3" t="s">
        <v>21</v>
      </c>
      <c r="G198" s="3" t="s">
        <v>368</v>
      </c>
      <c r="H198" s="4" t="s">
        <v>23</v>
      </c>
      <c r="I198" s="2">
        <v>46.0</v>
      </c>
      <c r="J198" s="2">
        <v>68.0</v>
      </c>
      <c r="K198" s="3" t="s">
        <v>25</v>
      </c>
      <c r="L198" s="3" t="s">
        <v>25</v>
      </c>
      <c r="M198" s="4" t="s">
        <v>340</v>
      </c>
      <c r="N198" s="2">
        <v>25700.0</v>
      </c>
      <c r="O198" s="2">
        <v>27250.0</v>
      </c>
      <c r="P198" s="5">
        <v>41991.0</v>
      </c>
      <c r="Q198" s="3" t="s">
        <v>27</v>
      </c>
    </row>
    <row r="199" ht="22.5" customHeight="1">
      <c r="A199" s="2">
        <v>2013.0</v>
      </c>
      <c r="B199" s="3" t="s">
        <v>336</v>
      </c>
      <c r="C199" s="3" t="s">
        <v>337</v>
      </c>
      <c r="D199" s="4" t="s">
        <v>338</v>
      </c>
      <c r="E199" s="3" t="s">
        <v>337</v>
      </c>
      <c r="F199" s="3" t="s">
        <v>21</v>
      </c>
      <c r="G199" s="3" t="s">
        <v>369</v>
      </c>
      <c r="H199" s="4" t="s">
        <v>23</v>
      </c>
      <c r="I199" s="2">
        <v>45.0</v>
      </c>
      <c r="J199" s="2">
        <v>24112.0</v>
      </c>
      <c r="K199" s="3" t="s">
        <v>32</v>
      </c>
      <c r="L199" s="3" t="s">
        <v>25</v>
      </c>
      <c r="M199" s="4" t="s">
        <v>340</v>
      </c>
      <c r="N199" s="2">
        <v>22800.0</v>
      </c>
      <c r="O199" s="2">
        <v>22500.0</v>
      </c>
      <c r="P199" s="5">
        <v>41991.0</v>
      </c>
      <c r="Q199" s="3" t="s">
        <v>27</v>
      </c>
    </row>
    <row r="200" ht="22.5" customHeight="1">
      <c r="A200" s="2">
        <v>2013.0</v>
      </c>
      <c r="B200" s="3" t="s">
        <v>336</v>
      </c>
      <c r="C200" s="3" t="s">
        <v>342</v>
      </c>
      <c r="D200" s="4" t="s">
        <v>343</v>
      </c>
      <c r="E200" s="3" t="s">
        <v>342</v>
      </c>
      <c r="F200" s="3" t="s">
        <v>21</v>
      </c>
      <c r="G200" s="3" t="s">
        <v>370</v>
      </c>
      <c r="H200" s="4" t="s">
        <v>23</v>
      </c>
      <c r="I200" s="2">
        <v>47.0</v>
      </c>
      <c r="J200" s="2">
        <v>4859.0</v>
      </c>
      <c r="K200" s="3" t="s">
        <v>25</v>
      </c>
      <c r="L200" s="3" t="s">
        <v>25</v>
      </c>
      <c r="M200" s="4" t="s">
        <v>340</v>
      </c>
      <c r="N200" s="2">
        <v>27200.0</v>
      </c>
      <c r="O200" s="2">
        <v>26750.0</v>
      </c>
      <c r="P200" s="5">
        <v>41991.0</v>
      </c>
      <c r="Q200" s="3" t="s">
        <v>27</v>
      </c>
    </row>
    <row r="201" ht="22.5" customHeight="1">
      <c r="A201" s="2">
        <v>2013.0</v>
      </c>
      <c r="B201" s="3" t="s">
        <v>336</v>
      </c>
      <c r="C201" s="3" t="s">
        <v>342</v>
      </c>
      <c r="D201" s="4" t="s">
        <v>343</v>
      </c>
      <c r="E201" s="3" t="s">
        <v>342</v>
      </c>
      <c r="F201" s="3" t="s">
        <v>21</v>
      </c>
      <c r="G201" s="3" t="s">
        <v>371</v>
      </c>
      <c r="H201" s="4" t="s">
        <v>23</v>
      </c>
      <c r="I201" s="2">
        <v>45.0</v>
      </c>
      <c r="J201" s="2">
        <v>21126.0</v>
      </c>
      <c r="K201" s="3" t="s">
        <v>25</v>
      </c>
      <c r="L201" s="3" t="s">
        <v>181</v>
      </c>
      <c r="M201" s="4" t="s">
        <v>340</v>
      </c>
      <c r="N201" s="2">
        <v>25100.0</v>
      </c>
      <c r="O201" s="2">
        <v>26500.0</v>
      </c>
      <c r="P201" s="5">
        <v>41991.0</v>
      </c>
      <c r="Q201" s="3" t="s">
        <v>27</v>
      </c>
    </row>
    <row r="202" ht="22.5" customHeight="1">
      <c r="A202" s="2">
        <v>2013.0</v>
      </c>
      <c r="B202" s="3" t="s">
        <v>336</v>
      </c>
      <c r="C202" s="3" t="s">
        <v>337</v>
      </c>
      <c r="D202" s="4" t="s">
        <v>338</v>
      </c>
      <c r="E202" s="3" t="s">
        <v>337</v>
      </c>
      <c r="F202" s="3" t="s">
        <v>21</v>
      </c>
      <c r="G202" s="3" t="s">
        <v>372</v>
      </c>
      <c r="H202" s="4" t="s">
        <v>23</v>
      </c>
      <c r="I202" s="2">
        <v>42.0</v>
      </c>
      <c r="J202" s="2">
        <v>26675.0</v>
      </c>
      <c r="K202" s="3" t="s">
        <v>167</v>
      </c>
      <c r="L202" s="3" t="s">
        <v>25</v>
      </c>
      <c r="M202" s="4" t="s">
        <v>340</v>
      </c>
      <c r="N202" s="2">
        <v>22500.0</v>
      </c>
      <c r="O202" s="2">
        <v>23750.0</v>
      </c>
      <c r="P202" s="5">
        <v>41991.0</v>
      </c>
      <c r="Q202" s="3" t="s">
        <v>27</v>
      </c>
    </row>
    <row r="203" ht="22.5" customHeight="1">
      <c r="A203" s="2">
        <v>2013.0</v>
      </c>
      <c r="B203" s="3" t="s">
        <v>336</v>
      </c>
      <c r="C203" s="3" t="s">
        <v>337</v>
      </c>
      <c r="D203" s="4" t="s">
        <v>338</v>
      </c>
      <c r="E203" s="3" t="s">
        <v>337</v>
      </c>
      <c r="F203" s="3" t="s">
        <v>21</v>
      </c>
      <c r="G203" s="3" t="s">
        <v>373</v>
      </c>
      <c r="H203" s="4" t="s">
        <v>23</v>
      </c>
      <c r="I203" s="2">
        <v>42.0</v>
      </c>
      <c r="J203" s="2">
        <v>19978.0</v>
      </c>
      <c r="K203" s="3" t="s">
        <v>32</v>
      </c>
      <c r="L203" s="3" t="s">
        <v>25</v>
      </c>
      <c r="M203" s="4" t="s">
        <v>340</v>
      </c>
      <c r="N203" s="2">
        <v>23300.0</v>
      </c>
      <c r="O203" s="2">
        <v>24500.0</v>
      </c>
      <c r="P203" s="5">
        <v>41991.0</v>
      </c>
      <c r="Q203" s="3" t="s">
        <v>27</v>
      </c>
    </row>
    <row r="204" ht="22.5" customHeight="1">
      <c r="A204" s="2">
        <v>2013.0</v>
      </c>
      <c r="B204" s="3" t="s">
        <v>336</v>
      </c>
      <c r="C204" s="3" t="s">
        <v>374</v>
      </c>
      <c r="D204" s="4" t="s">
        <v>375</v>
      </c>
      <c r="E204" s="3" t="s">
        <v>30</v>
      </c>
      <c r="F204" s="3" t="s">
        <v>21</v>
      </c>
      <c r="G204" s="3" t="s">
        <v>376</v>
      </c>
      <c r="H204" s="4" t="s">
        <v>23</v>
      </c>
      <c r="I204" s="2">
        <v>43.0</v>
      </c>
      <c r="J204" s="2">
        <v>10532.0</v>
      </c>
      <c r="K204" s="3" t="s">
        <v>25</v>
      </c>
      <c r="L204" s="3" t="s">
        <v>25</v>
      </c>
      <c r="M204" s="4" t="s">
        <v>340</v>
      </c>
      <c r="N204" s="2">
        <v>30800.0</v>
      </c>
      <c r="O204" s="2">
        <v>32000.0</v>
      </c>
      <c r="P204" s="5">
        <v>41991.0</v>
      </c>
      <c r="Q204" s="3" t="s">
        <v>27</v>
      </c>
    </row>
    <row r="205" ht="22.5" customHeight="1">
      <c r="A205" s="2">
        <v>2013.0</v>
      </c>
      <c r="B205" s="3" t="s">
        <v>336</v>
      </c>
      <c r="C205" s="3" t="s">
        <v>342</v>
      </c>
      <c r="D205" s="4" t="s">
        <v>343</v>
      </c>
      <c r="E205" s="3" t="s">
        <v>342</v>
      </c>
      <c r="F205" s="3" t="s">
        <v>21</v>
      </c>
      <c r="G205" s="3" t="s">
        <v>377</v>
      </c>
      <c r="H205" s="4" t="s">
        <v>23</v>
      </c>
      <c r="I205" s="2">
        <v>41.0</v>
      </c>
      <c r="J205" s="2">
        <v>20317.0</v>
      </c>
      <c r="K205" s="3" t="s">
        <v>24</v>
      </c>
      <c r="L205" s="3" t="s">
        <v>25</v>
      </c>
      <c r="M205" s="4" t="s">
        <v>340</v>
      </c>
      <c r="N205" s="2">
        <v>25200.0</v>
      </c>
      <c r="O205" s="2">
        <v>26250.0</v>
      </c>
      <c r="P205" s="5">
        <v>41991.0</v>
      </c>
      <c r="Q205" s="3" t="s">
        <v>27</v>
      </c>
    </row>
    <row r="206" ht="22.5" customHeight="1">
      <c r="A206" s="2">
        <v>2013.0</v>
      </c>
      <c r="B206" s="3" t="s">
        <v>336</v>
      </c>
      <c r="C206" s="3" t="s">
        <v>337</v>
      </c>
      <c r="D206" s="4" t="s">
        <v>338</v>
      </c>
      <c r="E206" s="3" t="s">
        <v>337</v>
      </c>
      <c r="F206" s="3" t="s">
        <v>21</v>
      </c>
      <c r="G206" s="3" t="s">
        <v>378</v>
      </c>
      <c r="H206" s="4" t="s">
        <v>23</v>
      </c>
      <c r="I206" s="2">
        <v>35.0</v>
      </c>
      <c r="J206" s="2">
        <v>26888.0</v>
      </c>
      <c r="K206" s="3" t="s">
        <v>32</v>
      </c>
      <c r="L206" s="3" t="s">
        <v>24</v>
      </c>
      <c r="M206" s="4" t="s">
        <v>340</v>
      </c>
      <c r="N206" s="2">
        <v>22400.0</v>
      </c>
      <c r="O206" s="2">
        <v>23250.0</v>
      </c>
      <c r="P206" s="5">
        <v>41991.0</v>
      </c>
      <c r="Q206" s="3" t="s">
        <v>27</v>
      </c>
    </row>
    <row r="207" ht="22.5" customHeight="1">
      <c r="A207" s="2">
        <v>2013.0</v>
      </c>
      <c r="B207" s="3" t="s">
        <v>336</v>
      </c>
      <c r="C207" s="3" t="s">
        <v>342</v>
      </c>
      <c r="D207" s="4" t="s">
        <v>343</v>
      </c>
      <c r="E207" s="3" t="s">
        <v>342</v>
      </c>
      <c r="F207" s="3" t="s">
        <v>21</v>
      </c>
      <c r="G207" s="3" t="s">
        <v>379</v>
      </c>
      <c r="H207" s="4" t="s">
        <v>23</v>
      </c>
      <c r="I207" s="2">
        <v>48.0</v>
      </c>
      <c r="J207" s="2">
        <v>7815.0</v>
      </c>
      <c r="K207" s="3" t="s">
        <v>32</v>
      </c>
      <c r="L207" s="3" t="s">
        <v>25</v>
      </c>
      <c r="M207" s="4" t="s">
        <v>340</v>
      </c>
      <c r="N207" s="2">
        <v>26800.0</v>
      </c>
      <c r="O207" s="2">
        <v>27000.0</v>
      </c>
      <c r="P207" s="5">
        <v>41991.0</v>
      </c>
      <c r="Q207" s="3" t="s">
        <v>27</v>
      </c>
    </row>
    <row r="208" ht="22.5" customHeight="1">
      <c r="A208" s="2">
        <v>2013.0</v>
      </c>
      <c r="B208" s="3" t="s">
        <v>336</v>
      </c>
      <c r="C208" s="3" t="s">
        <v>337</v>
      </c>
      <c r="D208" s="4" t="s">
        <v>338</v>
      </c>
      <c r="E208" s="3" t="s">
        <v>337</v>
      </c>
      <c r="F208" s="3" t="s">
        <v>21</v>
      </c>
      <c r="G208" s="3" t="s">
        <v>380</v>
      </c>
      <c r="H208" s="4" t="s">
        <v>23</v>
      </c>
      <c r="I208" s="2">
        <v>45.0</v>
      </c>
      <c r="J208" s="2">
        <v>11250.0</v>
      </c>
      <c r="K208" s="3" t="s">
        <v>25</v>
      </c>
      <c r="L208" s="3" t="s">
        <v>25</v>
      </c>
      <c r="M208" s="4" t="s">
        <v>340</v>
      </c>
      <c r="N208" s="2">
        <v>24300.0</v>
      </c>
      <c r="O208" s="2">
        <v>23500.0</v>
      </c>
      <c r="P208" s="5">
        <v>41991.0</v>
      </c>
      <c r="Q208" s="3" t="s">
        <v>27</v>
      </c>
    </row>
    <row r="209" ht="22.5" customHeight="1">
      <c r="A209" s="2">
        <v>2013.0</v>
      </c>
      <c r="B209" s="3" t="s">
        <v>336</v>
      </c>
      <c r="C209" s="3" t="s">
        <v>337</v>
      </c>
      <c r="D209" s="4" t="s">
        <v>338</v>
      </c>
      <c r="E209" s="3" t="s">
        <v>337</v>
      </c>
      <c r="F209" s="3" t="s">
        <v>21</v>
      </c>
      <c r="G209" s="3" t="s">
        <v>381</v>
      </c>
      <c r="H209" s="4" t="s">
        <v>23</v>
      </c>
      <c r="I209" s="2">
        <v>43.0</v>
      </c>
      <c r="J209" s="2">
        <v>16154.0</v>
      </c>
      <c r="K209" s="3" t="s">
        <v>24</v>
      </c>
      <c r="L209" s="3" t="s">
        <v>25</v>
      </c>
      <c r="M209" s="4" t="s">
        <v>340</v>
      </c>
      <c r="N209" s="2">
        <v>23700.0</v>
      </c>
      <c r="O209" s="2">
        <v>22750.0</v>
      </c>
      <c r="P209" s="5">
        <v>41991.0</v>
      </c>
      <c r="Q209" s="3" t="s">
        <v>27</v>
      </c>
    </row>
    <row r="210" ht="22.5" customHeight="1">
      <c r="A210" s="2">
        <v>2013.0</v>
      </c>
      <c r="B210" s="3" t="s">
        <v>336</v>
      </c>
      <c r="C210" s="3" t="s">
        <v>337</v>
      </c>
      <c r="D210" s="4" t="s">
        <v>338</v>
      </c>
      <c r="E210" s="3" t="s">
        <v>337</v>
      </c>
      <c r="F210" s="3" t="s">
        <v>21</v>
      </c>
      <c r="G210" s="3" t="s">
        <v>382</v>
      </c>
      <c r="H210" s="4" t="s">
        <v>23</v>
      </c>
      <c r="I210" s="2">
        <v>42.0</v>
      </c>
      <c r="J210" s="2">
        <v>22405.0</v>
      </c>
      <c r="K210" s="3" t="s">
        <v>24</v>
      </c>
      <c r="L210" s="3" t="s">
        <v>24</v>
      </c>
      <c r="M210" s="4" t="s">
        <v>340</v>
      </c>
      <c r="N210" s="2">
        <v>23000.0</v>
      </c>
      <c r="O210" s="2">
        <v>23000.0</v>
      </c>
      <c r="P210" s="5">
        <v>41991.0</v>
      </c>
      <c r="Q210" s="3" t="s">
        <v>27</v>
      </c>
    </row>
    <row r="211" ht="22.5" customHeight="1">
      <c r="A211" s="2">
        <v>2013.0</v>
      </c>
      <c r="B211" s="3" t="s">
        <v>336</v>
      </c>
      <c r="C211" s="3" t="s">
        <v>337</v>
      </c>
      <c r="D211" s="4" t="s">
        <v>338</v>
      </c>
      <c r="E211" s="3" t="s">
        <v>337</v>
      </c>
      <c r="F211" s="3" t="s">
        <v>21</v>
      </c>
      <c r="G211" s="3" t="s">
        <v>383</v>
      </c>
      <c r="H211" s="4" t="s">
        <v>23</v>
      </c>
      <c r="I211" s="2">
        <v>38.0</v>
      </c>
      <c r="J211" s="2">
        <v>28172.0</v>
      </c>
      <c r="K211" s="3" t="s">
        <v>36</v>
      </c>
      <c r="L211" s="3" t="s">
        <v>25</v>
      </c>
      <c r="M211" s="4" t="s">
        <v>340</v>
      </c>
      <c r="N211" s="2">
        <v>22300.0</v>
      </c>
      <c r="O211" s="2">
        <v>21000.0</v>
      </c>
      <c r="P211" s="5">
        <v>41991.0</v>
      </c>
      <c r="Q211" s="3" t="s">
        <v>27</v>
      </c>
    </row>
    <row r="212" ht="22.5" customHeight="1">
      <c r="A212" s="2">
        <v>2013.0</v>
      </c>
      <c r="B212" s="3" t="s">
        <v>336</v>
      </c>
      <c r="C212" s="3" t="s">
        <v>337</v>
      </c>
      <c r="D212" s="4" t="s">
        <v>338</v>
      </c>
      <c r="E212" s="3" t="s">
        <v>337</v>
      </c>
      <c r="F212" s="3" t="s">
        <v>21</v>
      </c>
      <c r="G212" s="3" t="s">
        <v>384</v>
      </c>
      <c r="H212" s="4" t="s">
        <v>23</v>
      </c>
      <c r="I212" s="2">
        <v>47.0</v>
      </c>
      <c r="J212" s="2">
        <v>18600.0</v>
      </c>
      <c r="K212" s="3" t="s">
        <v>32</v>
      </c>
      <c r="L212" s="3" t="s">
        <v>25</v>
      </c>
      <c r="M212" s="4" t="s">
        <v>340</v>
      </c>
      <c r="N212" s="2">
        <v>23400.0</v>
      </c>
      <c r="O212" s="2">
        <v>24750.0</v>
      </c>
      <c r="P212" s="5">
        <v>41991.0</v>
      </c>
      <c r="Q212" s="3" t="s">
        <v>27</v>
      </c>
    </row>
    <row r="213" ht="22.5" customHeight="1">
      <c r="A213" s="2">
        <v>2013.0</v>
      </c>
      <c r="B213" s="3" t="s">
        <v>336</v>
      </c>
      <c r="C213" s="3" t="s">
        <v>337</v>
      </c>
      <c r="D213" s="4" t="s">
        <v>338</v>
      </c>
      <c r="E213" s="3" t="s">
        <v>337</v>
      </c>
      <c r="F213" s="3" t="s">
        <v>21</v>
      </c>
      <c r="G213" s="3" t="s">
        <v>385</v>
      </c>
      <c r="H213" s="4" t="s">
        <v>23</v>
      </c>
      <c r="I213" s="2">
        <v>4.0</v>
      </c>
      <c r="J213" s="2">
        <v>11440.0</v>
      </c>
      <c r="K213" s="3" t="s">
        <v>25</v>
      </c>
      <c r="L213" s="3" t="s">
        <v>25</v>
      </c>
      <c r="M213" s="4" t="s">
        <v>340</v>
      </c>
      <c r="N213" s="2">
        <v>24300.0</v>
      </c>
      <c r="O213" s="2">
        <v>23000.0</v>
      </c>
      <c r="P213" s="5">
        <v>41991.0</v>
      </c>
      <c r="Q213" s="3" t="s">
        <v>27</v>
      </c>
    </row>
    <row r="214" ht="22.5" customHeight="1">
      <c r="A214" s="2">
        <v>2013.0</v>
      </c>
      <c r="B214" s="3" t="s">
        <v>336</v>
      </c>
      <c r="C214" s="3" t="s">
        <v>337</v>
      </c>
      <c r="D214" s="4" t="s">
        <v>338</v>
      </c>
      <c r="E214" s="3" t="s">
        <v>337</v>
      </c>
      <c r="F214" s="3" t="s">
        <v>21</v>
      </c>
      <c r="G214" s="3" t="s">
        <v>386</v>
      </c>
      <c r="H214" s="4" t="s">
        <v>23</v>
      </c>
      <c r="I214" s="2">
        <v>44.0</v>
      </c>
      <c r="J214" s="2">
        <v>15208.0</v>
      </c>
      <c r="K214" s="3" t="s">
        <v>32</v>
      </c>
      <c r="L214" s="3" t="s">
        <v>25</v>
      </c>
      <c r="M214" s="4" t="s">
        <v>340</v>
      </c>
      <c r="N214" s="2">
        <v>23800.0</v>
      </c>
      <c r="O214" s="2">
        <v>25250.0</v>
      </c>
      <c r="P214" s="5">
        <v>41991.0</v>
      </c>
      <c r="Q214" s="3" t="s">
        <v>27</v>
      </c>
    </row>
    <row r="215" ht="22.5" customHeight="1">
      <c r="A215" s="2">
        <v>2013.0</v>
      </c>
      <c r="B215" s="3" t="s">
        <v>336</v>
      </c>
      <c r="C215" s="3" t="s">
        <v>337</v>
      </c>
      <c r="D215" s="4" t="s">
        <v>338</v>
      </c>
      <c r="E215" s="3" t="s">
        <v>337</v>
      </c>
      <c r="F215" s="3" t="s">
        <v>21</v>
      </c>
      <c r="G215" s="3" t="s">
        <v>387</v>
      </c>
      <c r="H215" s="4" t="s">
        <v>23</v>
      </c>
      <c r="I215" s="2">
        <v>44.0</v>
      </c>
      <c r="J215" s="2">
        <v>29672.0</v>
      </c>
      <c r="K215" s="3" t="s">
        <v>32</v>
      </c>
      <c r="L215" s="3" t="s">
        <v>25</v>
      </c>
      <c r="M215" s="4" t="s">
        <v>340</v>
      </c>
      <c r="N215" s="2">
        <v>22100.0</v>
      </c>
      <c r="O215" s="2">
        <v>23000.0</v>
      </c>
      <c r="P215" s="5">
        <v>41991.0</v>
      </c>
      <c r="Q215" s="3" t="s">
        <v>27</v>
      </c>
    </row>
    <row r="216" ht="22.5" customHeight="1">
      <c r="A216" s="2">
        <v>2013.0</v>
      </c>
      <c r="B216" s="3" t="s">
        <v>336</v>
      </c>
      <c r="C216" s="3" t="s">
        <v>337</v>
      </c>
      <c r="D216" s="4" t="s">
        <v>338</v>
      </c>
      <c r="E216" s="3" t="s">
        <v>337</v>
      </c>
      <c r="F216" s="3" t="s">
        <v>21</v>
      </c>
      <c r="G216" s="3" t="s">
        <v>388</v>
      </c>
      <c r="H216" s="4" t="s">
        <v>23</v>
      </c>
      <c r="I216" s="2">
        <v>37.0</v>
      </c>
      <c r="J216" s="2">
        <v>22165.0</v>
      </c>
      <c r="K216" s="3" t="s">
        <v>25</v>
      </c>
      <c r="L216" s="3" t="s">
        <v>181</v>
      </c>
      <c r="M216" s="4" t="s">
        <v>340</v>
      </c>
      <c r="N216" s="2">
        <v>23000.0</v>
      </c>
      <c r="O216" s="2">
        <v>22750.0</v>
      </c>
      <c r="P216" s="5">
        <v>41991.0</v>
      </c>
      <c r="Q216" s="3" t="s">
        <v>27</v>
      </c>
    </row>
    <row r="217" ht="22.5" customHeight="1">
      <c r="A217" s="2">
        <v>2013.0</v>
      </c>
      <c r="B217" s="3" t="s">
        <v>336</v>
      </c>
      <c r="C217" s="3" t="s">
        <v>337</v>
      </c>
      <c r="D217" s="4" t="s">
        <v>338</v>
      </c>
      <c r="E217" s="3" t="s">
        <v>337</v>
      </c>
      <c r="F217" s="3" t="s">
        <v>21</v>
      </c>
      <c r="G217" s="3" t="s">
        <v>389</v>
      </c>
      <c r="H217" s="4" t="s">
        <v>23</v>
      </c>
      <c r="I217" s="2">
        <v>45.0</v>
      </c>
      <c r="J217" s="2">
        <v>21263.0</v>
      </c>
      <c r="K217" s="3" t="s">
        <v>25</v>
      </c>
      <c r="L217" s="3" t="s">
        <v>181</v>
      </c>
      <c r="M217" s="4" t="s">
        <v>340</v>
      </c>
      <c r="N217" s="2">
        <v>23100.0</v>
      </c>
      <c r="O217" s="2">
        <v>22000.0</v>
      </c>
      <c r="P217" s="5">
        <v>41991.0</v>
      </c>
      <c r="Q217" s="3" t="s">
        <v>27</v>
      </c>
    </row>
    <row r="218" ht="22.5" customHeight="1">
      <c r="A218" s="2">
        <v>2013.0</v>
      </c>
      <c r="B218" s="3" t="s">
        <v>336</v>
      </c>
      <c r="C218" s="3" t="s">
        <v>337</v>
      </c>
      <c r="D218" s="4" t="s">
        <v>338</v>
      </c>
      <c r="E218" s="3" t="s">
        <v>337</v>
      </c>
      <c r="F218" s="3" t="s">
        <v>21</v>
      </c>
      <c r="G218" s="3" t="s">
        <v>390</v>
      </c>
      <c r="H218" s="4" t="s">
        <v>23</v>
      </c>
      <c r="I218" s="2">
        <v>43.0</v>
      </c>
      <c r="J218" s="2">
        <v>11847.0</v>
      </c>
      <c r="K218" s="3" t="s">
        <v>32</v>
      </c>
      <c r="L218" s="3" t="s">
        <v>181</v>
      </c>
      <c r="M218" s="4" t="s">
        <v>340</v>
      </c>
      <c r="N218" s="2">
        <v>24200.0</v>
      </c>
      <c r="O218" s="2">
        <v>25000.0</v>
      </c>
      <c r="P218" s="5">
        <v>41991.0</v>
      </c>
      <c r="Q218" s="3" t="s">
        <v>27</v>
      </c>
    </row>
    <row r="219" ht="22.5" customHeight="1">
      <c r="A219" s="2">
        <v>2013.0</v>
      </c>
      <c r="B219" s="3" t="s">
        <v>336</v>
      </c>
      <c r="C219" s="3" t="s">
        <v>337</v>
      </c>
      <c r="D219" s="4" t="s">
        <v>338</v>
      </c>
      <c r="E219" s="3" t="s">
        <v>337</v>
      </c>
      <c r="F219" s="3" t="s">
        <v>21</v>
      </c>
      <c r="G219" s="3" t="s">
        <v>391</v>
      </c>
      <c r="H219" s="4" t="s">
        <v>23</v>
      </c>
      <c r="I219" s="2">
        <v>41.0</v>
      </c>
      <c r="J219" s="2">
        <v>15562.0</v>
      </c>
      <c r="K219" s="3" t="s">
        <v>24</v>
      </c>
      <c r="L219" s="3" t="s">
        <v>25</v>
      </c>
      <c r="M219" s="4" t="s">
        <v>340</v>
      </c>
      <c r="N219" s="2">
        <v>23800.0</v>
      </c>
      <c r="O219" s="2">
        <v>24500.0</v>
      </c>
      <c r="P219" s="5">
        <v>41991.0</v>
      </c>
      <c r="Q219" s="3" t="s">
        <v>27</v>
      </c>
    </row>
    <row r="220" ht="22.5" customHeight="1">
      <c r="A220" s="2">
        <v>2013.0</v>
      </c>
      <c r="B220" s="3" t="s">
        <v>336</v>
      </c>
      <c r="C220" s="3" t="s">
        <v>337</v>
      </c>
      <c r="D220" s="4" t="s">
        <v>338</v>
      </c>
      <c r="E220" s="3" t="s">
        <v>337</v>
      </c>
      <c r="F220" s="3" t="s">
        <v>21</v>
      </c>
      <c r="G220" s="3" t="s">
        <v>392</v>
      </c>
      <c r="H220" s="4" t="s">
        <v>23</v>
      </c>
      <c r="I220" s="2">
        <v>44.0</v>
      </c>
      <c r="J220" s="2">
        <v>22021.0</v>
      </c>
      <c r="K220" s="3" t="s">
        <v>25</v>
      </c>
      <c r="L220" s="3" t="s">
        <v>25</v>
      </c>
      <c r="M220" s="4" t="s">
        <v>340</v>
      </c>
      <c r="N220" s="2">
        <v>23000.0</v>
      </c>
      <c r="O220" s="2">
        <v>22000.0</v>
      </c>
      <c r="P220" s="5">
        <v>41991.0</v>
      </c>
      <c r="Q220" s="3" t="s">
        <v>27</v>
      </c>
    </row>
    <row r="221" ht="22.5" customHeight="1">
      <c r="A221" s="2">
        <v>2013.0</v>
      </c>
      <c r="B221" s="3" t="s">
        <v>336</v>
      </c>
      <c r="C221" s="3" t="s">
        <v>342</v>
      </c>
      <c r="D221" s="4" t="s">
        <v>343</v>
      </c>
      <c r="E221" s="3" t="s">
        <v>342</v>
      </c>
      <c r="F221" s="3" t="s">
        <v>21</v>
      </c>
      <c r="G221" s="3" t="s">
        <v>393</v>
      </c>
      <c r="H221" s="4" t="s">
        <v>23</v>
      </c>
      <c r="I221" s="2">
        <v>42.0</v>
      </c>
      <c r="J221" s="2">
        <v>16338.0</v>
      </c>
      <c r="K221" s="3" t="s">
        <v>24</v>
      </c>
      <c r="L221" s="3" t="s">
        <v>25</v>
      </c>
      <c r="M221" s="4" t="s">
        <v>340</v>
      </c>
      <c r="N221" s="2">
        <v>25700.0</v>
      </c>
      <c r="O221" s="2">
        <v>25500.0</v>
      </c>
      <c r="P221" s="5">
        <v>41991.0</v>
      </c>
      <c r="Q221" s="3" t="s">
        <v>27</v>
      </c>
    </row>
    <row r="222" ht="22.5" customHeight="1">
      <c r="A222" s="2">
        <v>2013.0</v>
      </c>
      <c r="B222" s="3" t="s">
        <v>336</v>
      </c>
      <c r="C222" s="3" t="s">
        <v>342</v>
      </c>
      <c r="D222" s="4" t="s">
        <v>343</v>
      </c>
      <c r="E222" s="3" t="s">
        <v>342</v>
      </c>
      <c r="F222" s="3" t="s">
        <v>21</v>
      </c>
      <c r="G222" s="3" t="s">
        <v>394</v>
      </c>
      <c r="H222" s="4" t="s">
        <v>23</v>
      </c>
      <c r="I222" s="2">
        <v>42.0</v>
      </c>
      <c r="J222" s="2">
        <v>15131.0</v>
      </c>
      <c r="K222" s="3" t="s">
        <v>32</v>
      </c>
      <c r="L222" s="3" t="s">
        <v>25</v>
      </c>
      <c r="M222" s="4" t="s">
        <v>340</v>
      </c>
      <c r="N222" s="2">
        <v>25900.0</v>
      </c>
      <c r="O222" s="2">
        <v>26000.0</v>
      </c>
      <c r="P222" s="5">
        <v>41991.0</v>
      </c>
      <c r="Q222" s="3" t="s">
        <v>27</v>
      </c>
    </row>
    <row r="223" ht="22.5" customHeight="1">
      <c r="A223" s="2">
        <v>2013.0</v>
      </c>
      <c r="B223" s="3" t="s">
        <v>336</v>
      </c>
      <c r="C223" s="3" t="s">
        <v>337</v>
      </c>
      <c r="D223" s="4" t="s">
        <v>338</v>
      </c>
      <c r="E223" s="3" t="s">
        <v>337</v>
      </c>
      <c r="F223" s="3" t="s">
        <v>21</v>
      </c>
      <c r="G223" s="3" t="s">
        <v>395</v>
      </c>
      <c r="H223" s="4" t="s">
        <v>23</v>
      </c>
      <c r="I223" s="2">
        <v>45.0</v>
      </c>
      <c r="J223" s="2">
        <v>28053.0</v>
      </c>
      <c r="K223" s="3" t="s">
        <v>25</v>
      </c>
      <c r="L223" s="3" t="s">
        <v>25</v>
      </c>
      <c r="M223" s="4" t="s">
        <v>340</v>
      </c>
      <c r="N223" s="2">
        <v>22300.0</v>
      </c>
      <c r="O223" s="2">
        <v>25000.0</v>
      </c>
      <c r="P223" s="5">
        <v>41991.0</v>
      </c>
      <c r="Q223" s="3" t="s">
        <v>27</v>
      </c>
    </row>
    <row r="224" ht="22.5" customHeight="1">
      <c r="A224" s="2">
        <v>2013.0</v>
      </c>
      <c r="B224" s="3" t="s">
        <v>336</v>
      </c>
      <c r="C224" s="3" t="s">
        <v>337</v>
      </c>
      <c r="D224" s="4" t="s">
        <v>338</v>
      </c>
      <c r="E224" s="3" t="s">
        <v>337</v>
      </c>
      <c r="F224" s="3" t="s">
        <v>21</v>
      </c>
      <c r="G224" s="3" t="s">
        <v>396</v>
      </c>
      <c r="H224" s="4" t="s">
        <v>23</v>
      </c>
      <c r="I224" s="2">
        <v>41.0</v>
      </c>
      <c r="J224" s="2">
        <v>19587.0</v>
      </c>
      <c r="K224" s="3" t="s">
        <v>167</v>
      </c>
      <c r="L224" s="3" t="s">
        <v>24</v>
      </c>
      <c r="M224" s="4" t="s">
        <v>340</v>
      </c>
      <c r="N224" s="2">
        <v>23300.0</v>
      </c>
      <c r="O224" s="2">
        <v>23500.0</v>
      </c>
      <c r="P224" s="5">
        <v>41991.0</v>
      </c>
      <c r="Q224" s="3" t="s">
        <v>27</v>
      </c>
    </row>
    <row r="225" ht="22.5" customHeight="1">
      <c r="A225" s="2">
        <v>2013.0</v>
      </c>
      <c r="B225" s="3" t="s">
        <v>336</v>
      </c>
      <c r="C225" s="3" t="s">
        <v>337</v>
      </c>
      <c r="D225" s="4" t="s">
        <v>338</v>
      </c>
      <c r="E225" s="3" t="s">
        <v>337</v>
      </c>
      <c r="F225" s="3" t="s">
        <v>21</v>
      </c>
      <c r="G225" s="3" t="s">
        <v>397</v>
      </c>
      <c r="H225" s="4" t="s">
        <v>23</v>
      </c>
      <c r="I225" s="2">
        <v>46.0</v>
      </c>
      <c r="J225" s="2">
        <v>20246.0</v>
      </c>
      <c r="K225" s="3" t="s">
        <v>24</v>
      </c>
      <c r="L225" s="3" t="s">
        <v>25</v>
      </c>
      <c r="M225" s="4" t="s">
        <v>340</v>
      </c>
      <c r="N225" s="2">
        <v>23200.0</v>
      </c>
      <c r="O225" s="2">
        <v>24750.0</v>
      </c>
      <c r="P225" s="5">
        <v>41991.0</v>
      </c>
      <c r="Q225" s="3" t="s">
        <v>27</v>
      </c>
    </row>
    <row r="226" ht="22.5" customHeight="1">
      <c r="A226" s="2">
        <v>2013.0</v>
      </c>
      <c r="B226" s="3" t="s">
        <v>336</v>
      </c>
      <c r="C226" s="3" t="s">
        <v>337</v>
      </c>
      <c r="D226" s="4" t="s">
        <v>338</v>
      </c>
      <c r="E226" s="3" t="s">
        <v>337</v>
      </c>
      <c r="F226" s="3" t="s">
        <v>21</v>
      </c>
      <c r="G226" s="3" t="s">
        <v>398</v>
      </c>
      <c r="H226" s="4" t="s">
        <v>23</v>
      </c>
      <c r="I226" s="2">
        <v>36.0</v>
      </c>
      <c r="J226" s="2">
        <v>23104.0</v>
      </c>
      <c r="K226" s="3" t="s">
        <v>167</v>
      </c>
      <c r="L226" s="3" t="s">
        <v>25</v>
      </c>
      <c r="M226" s="4" t="s">
        <v>340</v>
      </c>
      <c r="N226" s="2">
        <v>22900.0</v>
      </c>
      <c r="O226" s="2">
        <v>22750.0</v>
      </c>
      <c r="P226" s="5">
        <v>41991.0</v>
      </c>
      <c r="Q226" s="3" t="s">
        <v>27</v>
      </c>
    </row>
    <row r="227" ht="22.5" customHeight="1">
      <c r="A227" s="2">
        <v>2013.0</v>
      </c>
      <c r="B227" s="3" t="s">
        <v>336</v>
      </c>
      <c r="C227" s="3" t="s">
        <v>337</v>
      </c>
      <c r="D227" s="4" t="s">
        <v>338</v>
      </c>
      <c r="E227" s="3" t="s">
        <v>337</v>
      </c>
      <c r="F227" s="3" t="s">
        <v>21</v>
      </c>
      <c r="G227" s="3" t="s">
        <v>399</v>
      </c>
      <c r="H227" s="4" t="s">
        <v>23</v>
      </c>
      <c r="I227" s="2">
        <v>46.0</v>
      </c>
      <c r="J227" s="2">
        <v>5017.0</v>
      </c>
      <c r="K227" s="3" t="s">
        <v>32</v>
      </c>
      <c r="L227" s="3" t="s">
        <v>181</v>
      </c>
      <c r="M227" s="4" t="s">
        <v>340</v>
      </c>
      <c r="N227" s="2">
        <v>25100.0</v>
      </c>
      <c r="O227" s="2">
        <v>23500.0</v>
      </c>
      <c r="P227" s="5">
        <v>41991.0</v>
      </c>
      <c r="Q227" s="3" t="s">
        <v>27</v>
      </c>
    </row>
    <row r="228" ht="22.5" customHeight="1">
      <c r="A228" s="2">
        <v>2013.0</v>
      </c>
      <c r="B228" s="3" t="s">
        <v>336</v>
      </c>
      <c r="C228" s="3" t="s">
        <v>337</v>
      </c>
      <c r="D228" s="4" t="s">
        <v>338</v>
      </c>
      <c r="E228" s="3" t="s">
        <v>337</v>
      </c>
      <c r="F228" s="3" t="s">
        <v>21</v>
      </c>
      <c r="G228" s="3" t="s">
        <v>400</v>
      </c>
      <c r="H228" s="4" t="s">
        <v>23</v>
      </c>
      <c r="I228" s="2">
        <v>35.0</v>
      </c>
      <c r="J228" s="2">
        <v>25132.0</v>
      </c>
      <c r="K228" s="3" t="s">
        <v>32</v>
      </c>
      <c r="L228" s="3" t="s">
        <v>25</v>
      </c>
      <c r="M228" s="4" t="s">
        <v>340</v>
      </c>
      <c r="N228" s="2">
        <v>22600.0</v>
      </c>
      <c r="O228" s="2">
        <v>23500.0</v>
      </c>
      <c r="P228" s="5">
        <v>41991.0</v>
      </c>
      <c r="Q228" s="3" t="s">
        <v>27</v>
      </c>
    </row>
    <row r="229" ht="22.5" customHeight="1">
      <c r="A229" s="2">
        <v>2013.0</v>
      </c>
      <c r="B229" s="3" t="s">
        <v>336</v>
      </c>
      <c r="C229" s="3" t="s">
        <v>337</v>
      </c>
      <c r="D229" s="4" t="s">
        <v>338</v>
      </c>
      <c r="E229" s="3" t="s">
        <v>337</v>
      </c>
      <c r="F229" s="3" t="s">
        <v>21</v>
      </c>
      <c r="G229" s="3" t="s">
        <v>401</v>
      </c>
      <c r="H229" s="4" t="s">
        <v>23</v>
      </c>
      <c r="I229" s="2">
        <v>43.0</v>
      </c>
      <c r="J229" s="2">
        <v>14887.0</v>
      </c>
      <c r="K229" s="3" t="s">
        <v>24</v>
      </c>
      <c r="L229" s="3" t="s">
        <v>25</v>
      </c>
      <c r="M229" s="4" t="s">
        <v>340</v>
      </c>
      <c r="N229" s="2">
        <v>23900.0</v>
      </c>
      <c r="O229" s="2">
        <v>24500.0</v>
      </c>
      <c r="P229" s="5">
        <v>41991.0</v>
      </c>
      <c r="Q229" s="3" t="s">
        <v>27</v>
      </c>
    </row>
    <row r="230" ht="22.5" customHeight="1">
      <c r="A230" s="2">
        <v>2013.0</v>
      </c>
      <c r="B230" s="3" t="s">
        <v>336</v>
      </c>
      <c r="C230" s="3" t="s">
        <v>342</v>
      </c>
      <c r="D230" s="4" t="s">
        <v>343</v>
      </c>
      <c r="E230" s="3" t="s">
        <v>342</v>
      </c>
      <c r="F230" s="3" t="s">
        <v>21</v>
      </c>
      <c r="G230" s="3" t="s">
        <v>402</v>
      </c>
      <c r="H230" s="4" t="s">
        <v>23</v>
      </c>
      <c r="I230" s="2">
        <v>41.0</v>
      </c>
      <c r="J230" s="2">
        <v>17090.0</v>
      </c>
      <c r="K230" s="3" t="s">
        <v>25</v>
      </c>
      <c r="L230" s="3" t="s">
        <v>25</v>
      </c>
      <c r="M230" s="4" t="s">
        <v>340</v>
      </c>
      <c r="N230" s="2">
        <v>25600.0</v>
      </c>
      <c r="O230" s="2">
        <v>21500.0</v>
      </c>
      <c r="P230" s="5">
        <v>41991.0</v>
      </c>
      <c r="Q230" s="3" t="s">
        <v>27</v>
      </c>
    </row>
    <row r="231" ht="22.5" customHeight="1">
      <c r="A231" s="2">
        <v>2013.0</v>
      </c>
      <c r="B231" s="3" t="s">
        <v>336</v>
      </c>
      <c r="C231" s="3" t="s">
        <v>337</v>
      </c>
      <c r="D231" s="4" t="s">
        <v>338</v>
      </c>
      <c r="E231" s="3" t="s">
        <v>337</v>
      </c>
      <c r="F231" s="3" t="s">
        <v>21</v>
      </c>
      <c r="G231" s="3" t="s">
        <v>403</v>
      </c>
      <c r="H231" s="4" t="s">
        <v>23</v>
      </c>
      <c r="I231" s="2">
        <v>43.0</v>
      </c>
      <c r="J231" s="2">
        <v>24031.0</v>
      </c>
      <c r="K231" s="3" t="s">
        <v>167</v>
      </c>
      <c r="L231" s="3" t="s">
        <v>25</v>
      </c>
      <c r="M231" s="4" t="s">
        <v>340</v>
      </c>
      <c r="N231" s="2">
        <v>22800.0</v>
      </c>
      <c r="O231" s="2">
        <v>20500.0</v>
      </c>
      <c r="P231" s="5">
        <v>41991.0</v>
      </c>
      <c r="Q231" s="3" t="s">
        <v>27</v>
      </c>
    </row>
    <row r="232" ht="22.5" customHeight="1">
      <c r="A232" s="2">
        <v>2013.0</v>
      </c>
      <c r="B232" s="3" t="s">
        <v>336</v>
      </c>
      <c r="C232" s="3" t="s">
        <v>337</v>
      </c>
      <c r="D232" s="4" t="s">
        <v>338</v>
      </c>
      <c r="E232" s="3" t="s">
        <v>337</v>
      </c>
      <c r="F232" s="3" t="s">
        <v>21</v>
      </c>
      <c r="G232" s="3" t="s">
        <v>404</v>
      </c>
      <c r="H232" s="4" t="s">
        <v>23</v>
      </c>
      <c r="I232" s="2">
        <v>43.0</v>
      </c>
      <c r="J232" s="2">
        <v>26396.0</v>
      </c>
      <c r="K232" s="3" t="s">
        <v>24</v>
      </c>
      <c r="L232" s="3" t="s">
        <v>25</v>
      </c>
      <c r="M232" s="4" t="s">
        <v>340</v>
      </c>
      <c r="N232" s="2">
        <v>22500.0</v>
      </c>
      <c r="O232" s="2">
        <v>23750.0</v>
      </c>
      <c r="P232" s="5">
        <v>41991.0</v>
      </c>
      <c r="Q232" s="3" t="s">
        <v>27</v>
      </c>
    </row>
    <row r="233" ht="22.5" customHeight="1">
      <c r="A233" s="2">
        <v>2013.0</v>
      </c>
      <c r="B233" s="3" t="s">
        <v>336</v>
      </c>
      <c r="C233" s="3" t="s">
        <v>337</v>
      </c>
      <c r="D233" s="4" t="s">
        <v>338</v>
      </c>
      <c r="E233" s="3" t="s">
        <v>337</v>
      </c>
      <c r="F233" s="3" t="s">
        <v>21</v>
      </c>
      <c r="G233" s="3" t="s">
        <v>405</v>
      </c>
      <c r="H233" s="4" t="s">
        <v>23</v>
      </c>
      <c r="I233" s="2">
        <v>47.0</v>
      </c>
      <c r="J233" s="2">
        <v>16854.0</v>
      </c>
      <c r="K233" s="3" t="s">
        <v>24</v>
      </c>
      <c r="L233" s="3" t="s">
        <v>24</v>
      </c>
      <c r="M233" s="4" t="s">
        <v>340</v>
      </c>
      <c r="N233" s="2">
        <v>23600.0</v>
      </c>
      <c r="O233" s="2">
        <v>25750.0</v>
      </c>
      <c r="P233" s="5">
        <v>41991.0</v>
      </c>
      <c r="Q233" s="3" t="s">
        <v>27</v>
      </c>
    </row>
    <row r="234" ht="22.5" customHeight="1">
      <c r="A234" s="2">
        <v>2013.0</v>
      </c>
      <c r="B234" s="3" t="s">
        <v>336</v>
      </c>
      <c r="C234" s="3" t="s">
        <v>337</v>
      </c>
      <c r="D234" s="4" t="s">
        <v>338</v>
      </c>
      <c r="E234" s="3" t="s">
        <v>337</v>
      </c>
      <c r="F234" s="3" t="s">
        <v>21</v>
      </c>
      <c r="G234" s="3" t="s">
        <v>406</v>
      </c>
      <c r="H234" s="4" t="s">
        <v>23</v>
      </c>
      <c r="I234" s="2">
        <v>44.0</v>
      </c>
      <c r="J234" s="2">
        <v>14486.0</v>
      </c>
      <c r="K234" s="3" t="s">
        <v>173</v>
      </c>
      <c r="L234" s="3" t="s">
        <v>25</v>
      </c>
      <c r="M234" s="4" t="s">
        <v>340</v>
      </c>
      <c r="N234" s="2">
        <v>23900.0</v>
      </c>
      <c r="O234" s="2">
        <v>22000.0</v>
      </c>
      <c r="P234" s="5">
        <v>41991.0</v>
      </c>
      <c r="Q234" s="3" t="s">
        <v>27</v>
      </c>
    </row>
    <row r="235" ht="22.5" customHeight="1">
      <c r="A235" s="2">
        <v>2013.0</v>
      </c>
      <c r="B235" s="3" t="s">
        <v>336</v>
      </c>
      <c r="C235" s="3" t="s">
        <v>342</v>
      </c>
      <c r="D235" s="4" t="s">
        <v>343</v>
      </c>
      <c r="E235" s="3" t="s">
        <v>342</v>
      </c>
      <c r="F235" s="3" t="s">
        <v>21</v>
      </c>
      <c r="G235" s="3" t="s">
        <v>407</v>
      </c>
      <c r="H235" s="4" t="s">
        <v>23</v>
      </c>
      <c r="I235" s="2">
        <v>44.0</v>
      </c>
      <c r="J235" s="2">
        <v>19492.0</v>
      </c>
      <c r="K235" s="3" t="s">
        <v>32</v>
      </c>
      <c r="L235" s="3" t="s">
        <v>25</v>
      </c>
      <c r="M235" s="4" t="s">
        <v>340</v>
      </c>
      <c r="N235" s="2">
        <v>25300.0</v>
      </c>
      <c r="O235" s="2">
        <v>26250.0</v>
      </c>
      <c r="P235" s="5">
        <v>41991.0</v>
      </c>
      <c r="Q235" s="3" t="s">
        <v>27</v>
      </c>
    </row>
    <row r="236" ht="22.5" customHeight="1">
      <c r="A236" s="2">
        <v>2013.0</v>
      </c>
      <c r="B236" s="3" t="s">
        <v>336</v>
      </c>
      <c r="C236" s="3" t="s">
        <v>337</v>
      </c>
      <c r="D236" s="4" t="s">
        <v>338</v>
      </c>
      <c r="E236" s="3" t="s">
        <v>337</v>
      </c>
      <c r="F236" s="3" t="s">
        <v>21</v>
      </c>
      <c r="G236" s="3" t="s">
        <v>408</v>
      </c>
      <c r="H236" s="4" t="s">
        <v>23</v>
      </c>
      <c r="I236" s="2">
        <v>45.0</v>
      </c>
      <c r="J236" s="2">
        <v>19368.0</v>
      </c>
      <c r="K236" s="3" t="s">
        <v>32</v>
      </c>
      <c r="L236" s="3" t="s">
        <v>25</v>
      </c>
      <c r="M236" s="4" t="s">
        <v>340</v>
      </c>
      <c r="N236" s="2">
        <v>23300.0</v>
      </c>
      <c r="O236" s="2">
        <v>23000.0</v>
      </c>
      <c r="P236" s="5">
        <v>41991.0</v>
      </c>
      <c r="Q236" s="3" t="s">
        <v>27</v>
      </c>
    </row>
    <row r="237" ht="22.5" customHeight="1">
      <c r="A237" s="2">
        <v>2013.0</v>
      </c>
      <c r="B237" s="3" t="s">
        <v>336</v>
      </c>
      <c r="C237" s="3" t="s">
        <v>337</v>
      </c>
      <c r="D237" s="4" t="s">
        <v>338</v>
      </c>
      <c r="E237" s="3" t="s">
        <v>337</v>
      </c>
      <c r="F237" s="3" t="s">
        <v>21</v>
      </c>
      <c r="G237" s="3" t="s">
        <v>409</v>
      </c>
      <c r="H237" s="4" t="s">
        <v>23</v>
      </c>
      <c r="I237" s="2">
        <v>47.0</v>
      </c>
      <c r="J237" s="2">
        <v>25635.0</v>
      </c>
      <c r="K237" s="3" t="s">
        <v>32</v>
      </c>
      <c r="L237" s="3" t="s">
        <v>181</v>
      </c>
      <c r="M237" s="4" t="s">
        <v>340</v>
      </c>
      <c r="N237" s="2">
        <v>22600.0</v>
      </c>
      <c r="O237" s="2">
        <v>26500.0</v>
      </c>
      <c r="P237" s="5">
        <v>41991.0</v>
      </c>
      <c r="Q237" s="3" t="s">
        <v>27</v>
      </c>
    </row>
    <row r="238" ht="22.5" customHeight="1">
      <c r="A238" s="2">
        <v>2013.0</v>
      </c>
      <c r="B238" s="3" t="s">
        <v>336</v>
      </c>
      <c r="C238" s="3" t="s">
        <v>337</v>
      </c>
      <c r="D238" s="4" t="s">
        <v>338</v>
      </c>
      <c r="E238" s="3" t="s">
        <v>337</v>
      </c>
      <c r="F238" s="3" t="s">
        <v>21</v>
      </c>
      <c r="G238" s="3" t="s">
        <v>410</v>
      </c>
      <c r="H238" s="4" t="s">
        <v>23</v>
      </c>
      <c r="I238" s="2">
        <v>39.0</v>
      </c>
      <c r="J238" s="2">
        <v>26907.0</v>
      </c>
      <c r="K238" s="3" t="s">
        <v>24</v>
      </c>
      <c r="L238" s="3" t="s">
        <v>25</v>
      </c>
      <c r="M238" s="4" t="s">
        <v>340</v>
      </c>
      <c r="N238" s="2">
        <v>22400.0</v>
      </c>
      <c r="O238" s="2">
        <v>21750.0</v>
      </c>
      <c r="P238" s="5">
        <v>41991.0</v>
      </c>
      <c r="Q238" s="3" t="s">
        <v>27</v>
      </c>
    </row>
    <row r="239" ht="22.5" customHeight="1">
      <c r="A239" s="2">
        <v>2013.0</v>
      </c>
      <c r="B239" s="3" t="s">
        <v>336</v>
      </c>
      <c r="C239" s="3" t="s">
        <v>337</v>
      </c>
      <c r="D239" s="4" t="s">
        <v>338</v>
      </c>
      <c r="E239" s="3" t="s">
        <v>337</v>
      </c>
      <c r="F239" s="3" t="s">
        <v>21</v>
      </c>
      <c r="G239" s="3" t="s">
        <v>411</v>
      </c>
      <c r="H239" s="4" t="s">
        <v>23</v>
      </c>
      <c r="I239" s="2">
        <v>34.0</v>
      </c>
      <c r="J239" s="2">
        <v>14765.0</v>
      </c>
      <c r="K239" s="3" t="s">
        <v>24</v>
      </c>
      <c r="L239" s="3" t="s">
        <v>25</v>
      </c>
      <c r="M239" s="4" t="s">
        <v>340</v>
      </c>
      <c r="N239" s="2">
        <v>23900.0</v>
      </c>
      <c r="O239" s="2">
        <v>23500.0</v>
      </c>
      <c r="P239" s="5">
        <v>41991.0</v>
      </c>
      <c r="Q239" s="3" t="s">
        <v>27</v>
      </c>
    </row>
    <row r="240" ht="22.5" customHeight="1">
      <c r="A240" s="2">
        <v>2013.0</v>
      </c>
      <c r="B240" s="3" t="s">
        <v>336</v>
      </c>
      <c r="C240" s="3" t="s">
        <v>337</v>
      </c>
      <c r="D240" s="4" t="s">
        <v>338</v>
      </c>
      <c r="E240" s="3" t="s">
        <v>337</v>
      </c>
      <c r="F240" s="3" t="s">
        <v>21</v>
      </c>
      <c r="G240" s="3" t="s">
        <v>412</v>
      </c>
      <c r="H240" s="4" t="s">
        <v>23</v>
      </c>
      <c r="I240" s="2">
        <v>43.0</v>
      </c>
      <c r="J240" s="2">
        <v>18673.0</v>
      </c>
      <c r="K240" s="3" t="s">
        <v>24</v>
      </c>
      <c r="L240" s="3" t="s">
        <v>24</v>
      </c>
      <c r="M240" s="4" t="s">
        <v>340</v>
      </c>
      <c r="N240" s="2">
        <v>23400.0</v>
      </c>
      <c r="O240" s="2">
        <v>22000.0</v>
      </c>
      <c r="P240" s="5">
        <v>41991.0</v>
      </c>
      <c r="Q240" s="3" t="s">
        <v>27</v>
      </c>
    </row>
    <row r="241" ht="22.5" customHeight="1">
      <c r="A241" s="2">
        <v>2013.0</v>
      </c>
      <c r="B241" s="3" t="s">
        <v>336</v>
      </c>
      <c r="C241" s="3" t="s">
        <v>337</v>
      </c>
      <c r="D241" s="4" t="s">
        <v>338</v>
      </c>
      <c r="E241" s="3" t="s">
        <v>337</v>
      </c>
      <c r="F241" s="3" t="s">
        <v>21</v>
      </c>
      <c r="G241" s="3" t="s">
        <v>413</v>
      </c>
      <c r="H241" s="4" t="s">
        <v>23</v>
      </c>
      <c r="I241" s="2">
        <v>44.0</v>
      </c>
      <c r="J241" s="2">
        <v>16009.0</v>
      </c>
      <c r="K241" s="3" t="s">
        <v>24</v>
      </c>
      <c r="L241" s="3" t="s">
        <v>25</v>
      </c>
      <c r="M241" s="4" t="s">
        <v>340</v>
      </c>
      <c r="N241" s="2">
        <v>23700.0</v>
      </c>
      <c r="O241" s="2">
        <v>22750.0</v>
      </c>
      <c r="P241" s="5">
        <v>41991.0</v>
      </c>
      <c r="Q241" s="3" t="s">
        <v>27</v>
      </c>
    </row>
    <row r="242" ht="22.5" customHeight="1">
      <c r="A242" s="2">
        <v>2013.0</v>
      </c>
      <c r="B242" s="3" t="s">
        <v>336</v>
      </c>
      <c r="C242" s="3" t="s">
        <v>337</v>
      </c>
      <c r="D242" s="4" t="s">
        <v>338</v>
      </c>
      <c r="E242" s="3" t="s">
        <v>337</v>
      </c>
      <c r="F242" s="3" t="s">
        <v>21</v>
      </c>
      <c r="G242" s="3" t="s">
        <v>414</v>
      </c>
      <c r="H242" s="4" t="s">
        <v>23</v>
      </c>
      <c r="I242" s="2">
        <v>4.0</v>
      </c>
      <c r="J242" s="2">
        <v>15260.0</v>
      </c>
      <c r="K242" s="3" t="s">
        <v>36</v>
      </c>
      <c r="L242" s="3" t="s">
        <v>25</v>
      </c>
      <c r="M242" s="4" t="s">
        <v>340</v>
      </c>
      <c r="N242" s="2">
        <v>23800.0</v>
      </c>
      <c r="O242" s="2">
        <v>24500.0</v>
      </c>
      <c r="P242" s="5">
        <v>41991.0</v>
      </c>
      <c r="Q242" s="3" t="s">
        <v>27</v>
      </c>
    </row>
    <row r="243" ht="22.5" customHeight="1">
      <c r="A243" s="2">
        <v>2013.0</v>
      </c>
      <c r="B243" s="3" t="s">
        <v>336</v>
      </c>
      <c r="C243" s="3" t="s">
        <v>337</v>
      </c>
      <c r="D243" s="4" t="s">
        <v>338</v>
      </c>
      <c r="E243" s="3" t="s">
        <v>337</v>
      </c>
      <c r="F243" s="3" t="s">
        <v>21</v>
      </c>
      <c r="G243" s="3" t="s">
        <v>415</v>
      </c>
      <c r="H243" s="4" t="s">
        <v>23</v>
      </c>
      <c r="I243" s="2">
        <v>36.0</v>
      </c>
      <c r="J243" s="2">
        <v>20976.0</v>
      </c>
      <c r="K243" s="3" t="s">
        <v>25</v>
      </c>
      <c r="L243" s="3" t="s">
        <v>25</v>
      </c>
      <c r="M243" s="4" t="s">
        <v>340</v>
      </c>
      <c r="N243" s="2">
        <v>23100.0</v>
      </c>
      <c r="O243" s="2">
        <v>21000.0</v>
      </c>
      <c r="P243" s="5">
        <v>41991.0</v>
      </c>
      <c r="Q243" s="3" t="s">
        <v>27</v>
      </c>
    </row>
    <row r="244" ht="22.5" customHeight="1">
      <c r="A244" s="2">
        <v>2013.0</v>
      </c>
      <c r="B244" s="3" t="s">
        <v>336</v>
      </c>
      <c r="C244" s="3" t="s">
        <v>337</v>
      </c>
      <c r="D244" s="4" t="s">
        <v>338</v>
      </c>
      <c r="E244" s="3" t="s">
        <v>337</v>
      </c>
      <c r="F244" s="3" t="s">
        <v>21</v>
      </c>
      <c r="G244" s="3" t="s">
        <v>416</v>
      </c>
      <c r="H244" s="4" t="s">
        <v>23</v>
      </c>
      <c r="I244" s="2">
        <v>46.0</v>
      </c>
      <c r="J244" s="2">
        <v>22294.0</v>
      </c>
      <c r="K244" s="3" t="s">
        <v>25</v>
      </c>
      <c r="L244" s="3" t="s">
        <v>25</v>
      </c>
      <c r="M244" s="4" t="s">
        <v>340</v>
      </c>
      <c r="N244" s="2">
        <v>23000.0</v>
      </c>
      <c r="O244" s="2">
        <v>24750.0</v>
      </c>
      <c r="P244" s="5">
        <v>41991.0</v>
      </c>
      <c r="Q244" s="3" t="s">
        <v>27</v>
      </c>
    </row>
    <row r="245" ht="22.5" customHeight="1">
      <c r="A245" s="2">
        <v>2013.0</v>
      </c>
      <c r="B245" s="3" t="s">
        <v>336</v>
      </c>
      <c r="C245" s="3" t="s">
        <v>342</v>
      </c>
      <c r="D245" s="4" t="s">
        <v>343</v>
      </c>
      <c r="E245" s="3" t="s">
        <v>342</v>
      </c>
      <c r="F245" s="3" t="s">
        <v>21</v>
      </c>
      <c r="G245" s="3" t="s">
        <v>417</v>
      </c>
      <c r="H245" s="4" t="s">
        <v>23</v>
      </c>
      <c r="I245" s="2">
        <v>4.0</v>
      </c>
      <c r="J245" s="2">
        <v>30556.0</v>
      </c>
      <c r="K245" s="3" t="s">
        <v>24</v>
      </c>
      <c r="L245" s="3" t="s">
        <v>25</v>
      </c>
      <c r="M245" s="4" t="s">
        <v>340</v>
      </c>
      <c r="N245" s="2">
        <v>23900.0</v>
      </c>
      <c r="O245" s="2">
        <v>23500.0</v>
      </c>
      <c r="P245" s="5">
        <v>41991.0</v>
      </c>
      <c r="Q245" s="3" t="s">
        <v>27</v>
      </c>
    </row>
    <row r="246" ht="22.5" customHeight="1">
      <c r="A246" s="2">
        <v>2013.0</v>
      </c>
      <c r="B246" s="3" t="s">
        <v>336</v>
      </c>
      <c r="C246" s="3" t="s">
        <v>337</v>
      </c>
      <c r="D246" s="4" t="s">
        <v>338</v>
      </c>
      <c r="E246" s="3" t="s">
        <v>337</v>
      </c>
      <c r="F246" s="3" t="s">
        <v>21</v>
      </c>
      <c r="G246" s="3" t="s">
        <v>418</v>
      </c>
      <c r="H246" s="4" t="s">
        <v>23</v>
      </c>
      <c r="I246" s="2">
        <v>41.0</v>
      </c>
      <c r="J246" s="2">
        <v>29731.0</v>
      </c>
      <c r="K246" s="3" t="s">
        <v>32</v>
      </c>
      <c r="L246" s="3" t="s">
        <v>181</v>
      </c>
      <c r="M246" s="4" t="s">
        <v>340</v>
      </c>
      <c r="N246" s="2">
        <v>22100.0</v>
      </c>
      <c r="O246" s="2">
        <v>21000.0</v>
      </c>
      <c r="P246" s="5">
        <v>41991.0</v>
      </c>
      <c r="Q246" s="3" t="s">
        <v>27</v>
      </c>
    </row>
    <row r="247" ht="22.5" customHeight="1">
      <c r="A247" s="2">
        <v>2013.0</v>
      </c>
      <c r="B247" s="3" t="s">
        <v>336</v>
      </c>
      <c r="C247" s="3" t="s">
        <v>342</v>
      </c>
      <c r="D247" s="4" t="s">
        <v>343</v>
      </c>
      <c r="E247" s="3" t="s">
        <v>342</v>
      </c>
      <c r="F247" s="3" t="s">
        <v>21</v>
      </c>
      <c r="G247" s="3" t="s">
        <v>419</v>
      </c>
      <c r="H247" s="4" t="s">
        <v>23</v>
      </c>
      <c r="I247" s="2">
        <v>44.0</v>
      </c>
      <c r="J247" s="2">
        <v>13321.0</v>
      </c>
      <c r="K247" s="3" t="s">
        <v>32</v>
      </c>
      <c r="L247" s="3" t="s">
        <v>24</v>
      </c>
      <c r="M247" s="4" t="s">
        <v>340</v>
      </c>
      <c r="N247" s="2">
        <v>26100.0</v>
      </c>
      <c r="O247" s="2">
        <v>26000.0</v>
      </c>
      <c r="P247" s="5">
        <v>41991.0</v>
      </c>
      <c r="Q247" s="3" t="s">
        <v>27</v>
      </c>
    </row>
    <row r="248" ht="22.5" customHeight="1">
      <c r="A248" s="2">
        <v>2013.0</v>
      </c>
      <c r="B248" s="3" t="s">
        <v>336</v>
      </c>
      <c r="C248" s="3" t="s">
        <v>337</v>
      </c>
      <c r="D248" s="4" t="s">
        <v>338</v>
      </c>
      <c r="E248" s="3" t="s">
        <v>337</v>
      </c>
      <c r="F248" s="3" t="s">
        <v>21</v>
      </c>
      <c r="G248" s="3" t="s">
        <v>420</v>
      </c>
      <c r="H248" s="4" t="s">
        <v>23</v>
      </c>
      <c r="I248" s="2">
        <v>45.0</v>
      </c>
      <c r="J248" s="2">
        <v>23420.0</v>
      </c>
      <c r="K248" s="3" t="s">
        <v>24</v>
      </c>
      <c r="L248" s="3" t="s">
        <v>25</v>
      </c>
      <c r="M248" s="4" t="s">
        <v>340</v>
      </c>
      <c r="N248" s="2">
        <v>22800.0</v>
      </c>
      <c r="O248" s="2">
        <v>22250.0</v>
      </c>
      <c r="P248" s="5">
        <v>41991.0</v>
      </c>
      <c r="Q248" s="3" t="s">
        <v>27</v>
      </c>
    </row>
    <row r="249" ht="22.5" customHeight="1">
      <c r="A249" s="2">
        <v>2013.0</v>
      </c>
      <c r="B249" s="3" t="s">
        <v>336</v>
      </c>
      <c r="C249" s="3" t="s">
        <v>337</v>
      </c>
      <c r="D249" s="4" t="s">
        <v>338</v>
      </c>
      <c r="E249" s="3" t="s">
        <v>337</v>
      </c>
      <c r="F249" s="3" t="s">
        <v>21</v>
      </c>
      <c r="G249" s="3" t="s">
        <v>421</v>
      </c>
      <c r="H249" s="4" t="s">
        <v>23</v>
      </c>
      <c r="I249" s="2">
        <v>32.0</v>
      </c>
      <c r="J249" s="2">
        <v>28875.0</v>
      </c>
      <c r="K249" s="3" t="s">
        <v>24</v>
      </c>
      <c r="L249" s="3" t="s">
        <v>25</v>
      </c>
      <c r="M249" s="4" t="s">
        <v>340</v>
      </c>
      <c r="N249" s="2">
        <v>22200.0</v>
      </c>
      <c r="O249" s="2">
        <v>21000.0</v>
      </c>
      <c r="P249" s="5">
        <v>41991.0</v>
      </c>
      <c r="Q249" s="3" t="s">
        <v>27</v>
      </c>
    </row>
    <row r="250" ht="22.5" customHeight="1">
      <c r="A250" s="2">
        <v>2013.0</v>
      </c>
      <c r="B250" s="3" t="s">
        <v>336</v>
      </c>
      <c r="C250" s="3" t="s">
        <v>337</v>
      </c>
      <c r="D250" s="4" t="s">
        <v>338</v>
      </c>
      <c r="E250" s="3" t="s">
        <v>337</v>
      </c>
      <c r="F250" s="3" t="s">
        <v>21</v>
      </c>
      <c r="G250" s="3" t="s">
        <v>422</v>
      </c>
      <c r="H250" s="4" t="s">
        <v>23</v>
      </c>
      <c r="I250" s="2">
        <v>45.0</v>
      </c>
      <c r="J250" s="2">
        <v>21557.0</v>
      </c>
      <c r="K250" s="3" t="s">
        <v>32</v>
      </c>
      <c r="L250" s="3" t="s">
        <v>25</v>
      </c>
      <c r="M250" s="4" t="s">
        <v>340</v>
      </c>
      <c r="N250" s="2">
        <v>23100.0</v>
      </c>
      <c r="O250" s="2">
        <v>25250.0</v>
      </c>
      <c r="P250" s="5">
        <v>41991.0</v>
      </c>
      <c r="Q250" s="3" t="s">
        <v>27</v>
      </c>
    </row>
    <row r="251" ht="22.5" customHeight="1">
      <c r="A251" s="2">
        <v>2013.0</v>
      </c>
      <c r="B251" s="3" t="s">
        <v>336</v>
      </c>
      <c r="C251" s="3" t="s">
        <v>337</v>
      </c>
      <c r="D251" s="4" t="s">
        <v>338</v>
      </c>
      <c r="E251" s="3" t="s">
        <v>337</v>
      </c>
      <c r="F251" s="3" t="s">
        <v>21</v>
      </c>
      <c r="G251" s="3" t="s">
        <v>423</v>
      </c>
      <c r="H251" s="4" t="s">
        <v>23</v>
      </c>
      <c r="I251" s="2">
        <v>38.0</v>
      </c>
      <c r="J251" s="2">
        <v>20067.0</v>
      </c>
      <c r="K251" s="3" t="s">
        <v>24</v>
      </c>
      <c r="L251" s="3" t="s">
        <v>25</v>
      </c>
      <c r="M251" s="4" t="s">
        <v>340</v>
      </c>
      <c r="N251" s="2">
        <v>23300.0</v>
      </c>
      <c r="O251" s="2">
        <v>24000.0</v>
      </c>
      <c r="P251" s="5">
        <v>41991.0</v>
      </c>
      <c r="Q251" s="3" t="s">
        <v>27</v>
      </c>
    </row>
    <row r="252" ht="22.5" customHeight="1">
      <c r="A252" s="2">
        <v>2013.0</v>
      </c>
      <c r="B252" s="3" t="s">
        <v>336</v>
      </c>
      <c r="C252" s="3" t="s">
        <v>342</v>
      </c>
      <c r="D252" s="4" t="s">
        <v>343</v>
      </c>
      <c r="E252" s="3" t="s">
        <v>342</v>
      </c>
      <c r="F252" s="3" t="s">
        <v>21</v>
      </c>
      <c r="G252" s="3" t="s">
        <v>424</v>
      </c>
      <c r="H252" s="4" t="s">
        <v>23</v>
      </c>
      <c r="I252" s="2">
        <v>42.0</v>
      </c>
      <c r="J252" s="2">
        <v>22354.0</v>
      </c>
      <c r="K252" s="3" t="s">
        <v>24</v>
      </c>
      <c r="L252" s="3" t="s">
        <v>25</v>
      </c>
      <c r="M252" s="4" t="s">
        <v>340</v>
      </c>
      <c r="N252" s="2">
        <v>24900.0</v>
      </c>
      <c r="O252" s="2">
        <v>25000.0</v>
      </c>
      <c r="P252" s="5">
        <v>41991.0</v>
      </c>
      <c r="Q252" s="3" t="s">
        <v>27</v>
      </c>
    </row>
    <row r="253" ht="22.5" customHeight="1">
      <c r="A253" s="2">
        <v>2013.0</v>
      </c>
      <c r="B253" s="3" t="s">
        <v>336</v>
      </c>
      <c r="C253" s="3" t="s">
        <v>337</v>
      </c>
      <c r="D253" s="4" t="s">
        <v>338</v>
      </c>
      <c r="E253" s="3" t="s">
        <v>337</v>
      </c>
      <c r="F253" s="3" t="s">
        <v>21</v>
      </c>
      <c r="G253" s="3" t="s">
        <v>425</v>
      </c>
      <c r="H253" s="4" t="s">
        <v>23</v>
      </c>
      <c r="I253" s="2">
        <v>44.0</v>
      </c>
      <c r="J253" s="2">
        <v>28920.0</v>
      </c>
      <c r="K253" s="3" t="s">
        <v>167</v>
      </c>
      <c r="L253" s="3" t="s">
        <v>24</v>
      </c>
      <c r="M253" s="4" t="s">
        <v>340</v>
      </c>
      <c r="N253" s="2">
        <v>22200.0</v>
      </c>
      <c r="O253" s="2">
        <v>23250.0</v>
      </c>
      <c r="P253" s="5">
        <v>41991.0</v>
      </c>
      <c r="Q253" s="3" t="s">
        <v>27</v>
      </c>
    </row>
    <row r="254" ht="22.5" customHeight="1">
      <c r="A254" s="2">
        <v>2013.0</v>
      </c>
      <c r="B254" s="3" t="s">
        <v>336</v>
      </c>
      <c r="C254" s="3" t="s">
        <v>342</v>
      </c>
      <c r="D254" s="4" t="s">
        <v>343</v>
      </c>
      <c r="E254" s="3" t="s">
        <v>342</v>
      </c>
      <c r="F254" s="3" t="s">
        <v>21</v>
      </c>
      <c r="G254" s="3" t="s">
        <v>426</v>
      </c>
      <c r="H254" s="4" t="s">
        <v>23</v>
      </c>
      <c r="I254" s="2">
        <v>44.0</v>
      </c>
      <c r="J254" s="2">
        <v>16605.0</v>
      </c>
      <c r="K254" s="3" t="s">
        <v>25</v>
      </c>
      <c r="L254" s="3" t="s">
        <v>25</v>
      </c>
      <c r="M254" s="4" t="s">
        <v>340</v>
      </c>
      <c r="N254" s="2">
        <v>25700.0</v>
      </c>
      <c r="O254" s="2">
        <v>25500.0</v>
      </c>
      <c r="P254" s="5">
        <v>41991.0</v>
      </c>
      <c r="Q254" s="3" t="s">
        <v>27</v>
      </c>
    </row>
    <row r="255" ht="22.5" customHeight="1">
      <c r="A255" s="2">
        <v>2013.0</v>
      </c>
      <c r="B255" s="3" t="s">
        <v>336</v>
      </c>
      <c r="C255" s="3" t="s">
        <v>337</v>
      </c>
      <c r="D255" s="4" t="s">
        <v>338</v>
      </c>
      <c r="E255" s="3" t="s">
        <v>337</v>
      </c>
      <c r="F255" s="3" t="s">
        <v>21</v>
      </c>
      <c r="G255" s="3" t="s">
        <v>427</v>
      </c>
      <c r="H255" s="4" t="s">
        <v>23</v>
      </c>
      <c r="I255" s="2">
        <v>38.0</v>
      </c>
      <c r="J255" s="2">
        <v>28127.0</v>
      </c>
      <c r="K255" s="3" t="s">
        <v>36</v>
      </c>
      <c r="L255" s="3" t="s">
        <v>25</v>
      </c>
      <c r="M255" s="4" t="s">
        <v>340</v>
      </c>
      <c r="N255" s="2">
        <v>22300.0</v>
      </c>
      <c r="O255" s="2">
        <v>21500.0</v>
      </c>
      <c r="P255" s="5">
        <v>41991.0</v>
      </c>
      <c r="Q255" s="3" t="s">
        <v>27</v>
      </c>
    </row>
    <row r="256" ht="22.5" customHeight="1">
      <c r="A256" s="2">
        <v>2013.0</v>
      </c>
      <c r="B256" s="3" t="s">
        <v>336</v>
      </c>
      <c r="C256" s="3" t="s">
        <v>337</v>
      </c>
      <c r="D256" s="4" t="s">
        <v>338</v>
      </c>
      <c r="E256" s="3" t="s">
        <v>337</v>
      </c>
      <c r="F256" s="3" t="s">
        <v>21</v>
      </c>
      <c r="G256" s="3" t="s">
        <v>428</v>
      </c>
      <c r="H256" s="4" t="s">
        <v>23</v>
      </c>
      <c r="I256" s="2">
        <v>39.0</v>
      </c>
      <c r="J256" s="2">
        <v>22828.0</v>
      </c>
      <c r="K256" s="3" t="s">
        <v>25</v>
      </c>
      <c r="L256" s="3" t="s">
        <v>25</v>
      </c>
      <c r="M256" s="4" t="s">
        <v>340</v>
      </c>
      <c r="N256" s="2">
        <v>22900.0</v>
      </c>
      <c r="O256" s="2">
        <v>24500.0</v>
      </c>
      <c r="P256" s="5">
        <v>41991.0</v>
      </c>
      <c r="Q256" s="3" t="s">
        <v>27</v>
      </c>
    </row>
    <row r="257" ht="22.5" customHeight="1">
      <c r="A257" s="2">
        <v>2013.0</v>
      </c>
      <c r="B257" s="3" t="s">
        <v>336</v>
      </c>
      <c r="C257" s="3" t="s">
        <v>337</v>
      </c>
      <c r="D257" s="4" t="s">
        <v>338</v>
      </c>
      <c r="E257" s="3" t="s">
        <v>337</v>
      </c>
      <c r="F257" s="3" t="s">
        <v>21</v>
      </c>
      <c r="G257" s="3" t="s">
        <v>429</v>
      </c>
      <c r="H257" s="4" t="s">
        <v>23</v>
      </c>
      <c r="I257" s="2">
        <v>39.0</v>
      </c>
      <c r="J257" s="2">
        <v>23097.0</v>
      </c>
      <c r="K257" s="3" t="s">
        <v>32</v>
      </c>
      <c r="L257" s="3" t="s">
        <v>25</v>
      </c>
      <c r="M257" s="4" t="s">
        <v>340</v>
      </c>
      <c r="N257" s="2">
        <v>22900.0</v>
      </c>
      <c r="O257" s="2">
        <v>21250.0</v>
      </c>
      <c r="P257" s="5">
        <v>41991.0</v>
      </c>
      <c r="Q257" s="3" t="s">
        <v>27</v>
      </c>
    </row>
    <row r="258" ht="22.5" customHeight="1">
      <c r="A258" s="2">
        <v>2013.0</v>
      </c>
      <c r="B258" s="3" t="s">
        <v>336</v>
      </c>
      <c r="C258" s="3" t="s">
        <v>337</v>
      </c>
      <c r="D258" s="4" t="s">
        <v>338</v>
      </c>
      <c r="E258" s="3" t="s">
        <v>337</v>
      </c>
      <c r="F258" s="3" t="s">
        <v>21</v>
      </c>
      <c r="G258" s="3" t="s">
        <v>430</v>
      </c>
      <c r="H258" s="4" t="s">
        <v>23</v>
      </c>
      <c r="I258" s="2">
        <v>49.0</v>
      </c>
      <c r="J258" s="2">
        <v>15802.0</v>
      </c>
      <c r="K258" s="3" t="s">
        <v>36</v>
      </c>
      <c r="L258" s="3" t="s">
        <v>25</v>
      </c>
      <c r="M258" s="4" t="s">
        <v>340</v>
      </c>
      <c r="N258" s="2">
        <v>23800.0</v>
      </c>
      <c r="O258" s="2">
        <v>25000.0</v>
      </c>
      <c r="P258" s="5">
        <v>41991.0</v>
      </c>
      <c r="Q258" s="3" t="s">
        <v>27</v>
      </c>
    </row>
    <row r="259" ht="22.5" customHeight="1">
      <c r="A259" s="2">
        <v>2013.0</v>
      </c>
      <c r="B259" s="3" t="s">
        <v>336</v>
      </c>
      <c r="C259" s="3" t="s">
        <v>337</v>
      </c>
      <c r="D259" s="4" t="s">
        <v>338</v>
      </c>
      <c r="E259" s="3" t="s">
        <v>337</v>
      </c>
      <c r="F259" s="3" t="s">
        <v>21</v>
      </c>
      <c r="G259" s="3" t="s">
        <v>431</v>
      </c>
      <c r="H259" s="4" t="s">
        <v>23</v>
      </c>
      <c r="I259" s="2">
        <v>45.0</v>
      </c>
      <c r="J259" s="2">
        <v>27333.0</v>
      </c>
      <c r="K259" s="3" t="s">
        <v>25</v>
      </c>
      <c r="L259" s="3" t="s">
        <v>25</v>
      </c>
      <c r="M259" s="4" t="s">
        <v>340</v>
      </c>
      <c r="N259" s="2">
        <v>22400.0</v>
      </c>
      <c r="O259" s="2">
        <v>24500.0</v>
      </c>
      <c r="P259" s="5">
        <v>41991.0</v>
      </c>
      <c r="Q259" s="3" t="s">
        <v>27</v>
      </c>
    </row>
    <row r="260" ht="22.5" customHeight="1">
      <c r="A260" s="2">
        <v>2013.0</v>
      </c>
      <c r="B260" s="3" t="s">
        <v>336</v>
      </c>
      <c r="C260" s="3" t="s">
        <v>337</v>
      </c>
      <c r="D260" s="4" t="s">
        <v>338</v>
      </c>
      <c r="E260" s="3" t="s">
        <v>337</v>
      </c>
      <c r="F260" s="3" t="s">
        <v>21</v>
      </c>
      <c r="G260" s="3" t="s">
        <v>432</v>
      </c>
      <c r="H260" s="4" t="s">
        <v>23</v>
      </c>
      <c r="I260" s="2">
        <v>44.0</v>
      </c>
      <c r="J260" s="2">
        <v>20263.0</v>
      </c>
      <c r="K260" s="3" t="s">
        <v>25</v>
      </c>
      <c r="L260" s="3" t="s">
        <v>25</v>
      </c>
      <c r="M260" s="4" t="s">
        <v>340</v>
      </c>
      <c r="N260" s="2">
        <v>23200.0</v>
      </c>
      <c r="O260" s="2">
        <v>26000.0</v>
      </c>
      <c r="P260" s="5">
        <v>41991.0</v>
      </c>
      <c r="Q260" s="3" t="s">
        <v>27</v>
      </c>
    </row>
    <row r="261" ht="22.5" customHeight="1">
      <c r="A261" s="2">
        <v>2013.0</v>
      </c>
      <c r="B261" s="3" t="s">
        <v>336</v>
      </c>
      <c r="C261" s="3" t="s">
        <v>337</v>
      </c>
      <c r="D261" s="4" t="s">
        <v>338</v>
      </c>
      <c r="E261" s="3" t="s">
        <v>337</v>
      </c>
      <c r="F261" s="3" t="s">
        <v>21</v>
      </c>
      <c r="G261" s="3" t="s">
        <v>433</v>
      </c>
      <c r="H261" s="4" t="s">
        <v>23</v>
      </c>
      <c r="I261" s="2">
        <v>42.0</v>
      </c>
      <c r="J261" s="2">
        <v>28694.0</v>
      </c>
      <c r="K261" s="3" t="s">
        <v>25</v>
      </c>
      <c r="L261" s="3" t="s">
        <v>25</v>
      </c>
      <c r="M261" s="4" t="s">
        <v>340</v>
      </c>
      <c r="N261" s="2">
        <v>22200.0</v>
      </c>
      <c r="O261" s="2">
        <v>21500.0</v>
      </c>
      <c r="P261" s="5">
        <v>41991.0</v>
      </c>
      <c r="Q261" s="3" t="s">
        <v>27</v>
      </c>
    </row>
    <row r="262" ht="22.5" customHeight="1">
      <c r="A262" s="2">
        <v>2013.0</v>
      </c>
      <c r="B262" s="3" t="s">
        <v>336</v>
      </c>
      <c r="C262" s="3" t="s">
        <v>337</v>
      </c>
      <c r="D262" s="4" t="s">
        <v>338</v>
      </c>
      <c r="E262" s="3" t="s">
        <v>337</v>
      </c>
      <c r="F262" s="3" t="s">
        <v>21</v>
      </c>
      <c r="G262" s="3" t="s">
        <v>434</v>
      </c>
      <c r="H262" s="4" t="s">
        <v>23</v>
      </c>
      <c r="I262" s="2">
        <v>44.0</v>
      </c>
      <c r="J262" s="2">
        <v>30464.0</v>
      </c>
      <c r="K262" s="3" t="s">
        <v>24</v>
      </c>
      <c r="L262" s="3" t="s">
        <v>25</v>
      </c>
      <c r="M262" s="4" t="s">
        <v>340</v>
      </c>
      <c r="N262" s="2">
        <v>22000.0</v>
      </c>
      <c r="O262" s="2">
        <v>24000.0</v>
      </c>
      <c r="P262" s="5">
        <v>41991.0</v>
      </c>
      <c r="Q262" s="3" t="s">
        <v>27</v>
      </c>
    </row>
    <row r="263" ht="22.5" customHeight="1">
      <c r="A263" s="2">
        <v>2013.0</v>
      </c>
      <c r="B263" s="3" t="s">
        <v>336</v>
      </c>
      <c r="C263" s="3" t="s">
        <v>337</v>
      </c>
      <c r="D263" s="4" t="s">
        <v>338</v>
      </c>
      <c r="E263" s="3" t="s">
        <v>337</v>
      </c>
      <c r="F263" s="3" t="s">
        <v>21</v>
      </c>
      <c r="G263" s="3" t="s">
        <v>435</v>
      </c>
      <c r="H263" s="4" t="s">
        <v>23</v>
      </c>
      <c r="I263" s="2">
        <v>46.0</v>
      </c>
      <c r="J263" s="2">
        <v>10610.0</v>
      </c>
      <c r="K263" s="3" t="s">
        <v>32</v>
      </c>
      <c r="L263" s="3" t="s">
        <v>24</v>
      </c>
      <c r="M263" s="4" t="s">
        <v>340</v>
      </c>
      <c r="N263" s="2">
        <v>24400.0</v>
      </c>
      <c r="O263" s="2">
        <v>23500.0</v>
      </c>
      <c r="P263" s="5">
        <v>41991.0</v>
      </c>
      <c r="Q263" s="3" t="s">
        <v>27</v>
      </c>
    </row>
    <row r="264" ht="22.5" customHeight="1">
      <c r="A264" s="2">
        <v>2013.0</v>
      </c>
      <c r="B264" s="3" t="s">
        <v>336</v>
      </c>
      <c r="C264" s="3" t="s">
        <v>337</v>
      </c>
      <c r="D264" s="4" t="s">
        <v>338</v>
      </c>
      <c r="E264" s="3" t="s">
        <v>337</v>
      </c>
      <c r="F264" s="3" t="s">
        <v>21</v>
      </c>
      <c r="G264" s="3" t="s">
        <v>436</v>
      </c>
      <c r="H264" s="4" t="s">
        <v>23</v>
      </c>
      <c r="I264" s="2">
        <v>44.0</v>
      </c>
      <c r="J264" s="2">
        <v>19573.0</v>
      </c>
      <c r="K264" s="3" t="s">
        <v>32</v>
      </c>
      <c r="L264" s="3" t="s">
        <v>24</v>
      </c>
      <c r="M264" s="4" t="s">
        <v>340</v>
      </c>
      <c r="N264" s="2">
        <v>23300.0</v>
      </c>
      <c r="O264" s="2">
        <v>22000.0</v>
      </c>
      <c r="P264" s="5">
        <v>41991.0</v>
      </c>
      <c r="Q264" s="3" t="s">
        <v>27</v>
      </c>
    </row>
    <row r="265" ht="22.5" customHeight="1">
      <c r="A265" s="2">
        <v>2013.0</v>
      </c>
      <c r="B265" s="3" t="s">
        <v>336</v>
      </c>
      <c r="C265" s="3" t="s">
        <v>337</v>
      </c>
      <c r="D265" s="4" t="s">
        <v>338</v>
      </c>
      <c r="E265" s="3" t="s">
        <v>337</v>
      </c>
      <c r="F265" s="3" t="s">
        <v>21</v>
      </c>
      <c r="G265" s="3" t="s">
        <v>437</v>
      </c>
      <c r="H265" s="4" t="s">
        <v>23</v>
      </c>
      <c r="I265" s="2">
        <v>37.0</v>
      </c>
      <c r="J265" s="2">
        <v>20202.0</v>
      </c>
      <c r="K265" s="3" t="s">
        <v>25</v>
      </c>
      <c r="L265" s="3" t="s">
        <v>25</v>
      </c>
      <c r="M265" s="4" t="s">
        <v>340</v>
      </c>
      <c r="N265" s="2">
        <v>23200.0</v>
      </c>
      <c r="O265" s="2">
        <v>21750.0</v>
      </c>
      <c r="P265" s="5">
        <v>41991.0</v>
      </c>
      <c r="Q265" s="3" t="s">
        <v>27</v>
      </c>
    </row>
    <row r="266" ht="22.5" customHeight="1">
      <c r="A266" s="2">
        <v>2013.0</v>
      </c>
      <c r="B266" s="3" t="s">
        <v>336</v>
      </c>
      <c r="C266" s="3" t="s">
        <v>337</v>
      </c>
      <c r="D266" s="4" t="s">
        <v>338</v>
      </c>
      <c r="E266" s="3" t="s">
        <v>337</v>
      </c>
      <c r="F266" s="3" t="s">
        <v>21</v>
      </c>
      <c r="G266" s="3" t="s">
        <v>438</v>
      </c>
      <c r="H266" s="4" t="s">
        <v>23</v>
      </c>
      <c r="I266" s="2">
        <v>46.0</v>
      </c>
      <c r="J266" s="2">
        <v>17541.0</v>
      </c>
      <c r="K266" s="3" t="s">
        <v>32</v>
      </c>
      <c r="L266" s="3" t="s">
        <v>24</v>
      </c>
      <c r="M266" s="4" t="s">
        <v>340</v>
      </c>
      <c r="N266" s="2">
        <v>23600.0</v>
      </c>
      <c r="O266" s="2">
        <v>24750.0</v>
      </c>
      <c r="P266" s="5">
        <v>41991.0</v>
      </c>
      <c r="Q266" s="3" t="s">
        <v>27</v>
      </c>
    </row>
    <row r="267" ht="22.5" customHeight="1">
      <c r="A267" s="2">
        <v>2013.0</v>
      </c>
      <c r="B267" s="3" t="s">
        <v>336</v>
      </c>
      <c r="C267" s="3" t="s">
        <v>337</v>
      </c>
      <c r="D267" s="4" t="s">
        <v>338</v>
      </c>
      <c r="E267" s="3" t="s">
        <v>337</v>
      </c>
      <c r="F267" s="3" t="s">
        <v>21</v>
      </c>
      <c r="G267" s="3" t="s">
        <v>439</v>
      </c>
      <c r="H267" s="4" t="s">
        <v>23</v>
      </c>
      <c r="I267" s="2">
        <v>42.0</v>
      </c>
      <c r="J267" s="2">
        <v>23470.0</v>
      </c>
      <c r="K267" s="3" t="s">
        <v>25</v>
      </c>
      <c r="L267" s="3" t="s">
        <v>25</v>
      </c>
      <c r="M267" s="4" t="s">
        <v>340</v>
      </c>
      <c r="N267" s="2">
        <v>22800.0</v>
      </c>
      <c r="O267" s="2">
        <v>24500.0</v>
      </c>
      <c r="P267" s="5">
        <v>41991.0</v>
      </c>
      <c r="Q267" s="3" t="s">
        <v>27</v>
      </c>
    </row>
    <row r="268" ht="22.5" customHeight="1">
      <c r="A268" s="2">
        <v>2013.0</v>
      </c>
      <c r="B268" s="3" t="s">
        <v>336</v>
      </c>
      <c r="C268" s="3" t="s">
        <v>337</v>
      </c>
      <c r="D268" s="4" t="s">
        <v>338</v>
      </c>
      <c r="E268" s="3" t="s">
        <v>337</v>
      </c>
      <c r="F268" s="3" t="s">
        <v>21</v>
      </c>
      <c r="G268" s="3" t="s">
        <v>440</v>
      </c>
      <c r="H268" s="4" t="s">
        <v>23</v>
      </c>
      <c r="I268" s="2">
        <v>43.0</v>
      </c>
      <c r="J268" s="2">
        <v>29782.0</v>
      </c>
      <c r="K268" s="3" t="s">
        <v>24</v>
      </c>
      <c r="L268" s="3" t="s">
        <v>25</v>
      </c>
      <c r="M268" s="4" t="s">
        <v>340</v>
      </c>
      <c r="N268" s="2">
        <v>22100.0</v>
      </c>
      <c r="O268" s="2">
        <v>21500.0</v>
      </c>
      <c r="P268" s="5">
        <v>41991.0</v>
      </c>
      <c r="Q268" s="3" t="s">
        <v>27</v>
      </c>
    </row>
    <row r="269" ht="22.5" customHeight="1">
      <c r="A269" s="2">
        <v>2013.0</v>
      </c>
      <c r="B269" s="3" t="s">
        <v>336</v>
      </c>
      <c r="C269" s="3" t="s">
        <v>337</v>
      </c>
      <c r="D269" s="4" t="s">
        <v>338</v>
      </c>
      <c r="E269" s="3" t="s">
        <v>337</v>
      </c>
      <c r="F269" s="3" t="s">
        <v>21</v>
      </c>
      <c r="G269" s="3" t="s">
        <v>441</v>
      </c>
      <c r="H269" s="4" t="s">
        <v>23</v>
      </c>
      <c r="I269" s="2">
        <v>39.0</v>
      </c>
      <c r="J269" s="2">
        <v>10993.0</v>
      </c>
      <c r="K269" s="3" t="s">
        <v>167</v>
      </c>
      <c r="L269" s="3" t="s">
        <v>25</v>
      </c>
      <c r="M269" s="4" t="s">
        <v>340</v>
      </c>
      <c r="N269" s="2">
        <v>24400.0</v>
      </c>
      <c r="O269" s="2">
        <v>24250.0</v>
      </c>
      <c r="P269" s="5">
        <v>41991.0</v>
      </c>
      <c r="Q269" s="3" t="s">
        <v>27</v>
      </c>
    </row>
    <row r="270" ht="22.5" customHeight="1">
      <c r="A270" s="2">
        <v>2013.0</v>
      </c>
      <c r="B270" s="3" t="s">
        <v>336</v>
      </c>
      <c r="C270" s="3" t="s">
        <v>337</v>
      </c>
      <c r="D270" s="4" t="s">
        <v>338</v>
      </c>
      <c r="E270" s="3" t="s">
        <v>337</v>
      </c>
      <c r="F270" s="3" t="s">
        <v>21</v>
      </c>
      <c r="G270" s="3" t="s">
        <v>442</v>
      </c>
      <c r="H270" s="4" t="s">
        <v>23</v>
      </c>
      <c r="I270" s="2">
        <v>45.0</v>
      </c>
      <c r="J270" s="2">
        <v>18921.0</v>
      </c>
      <c r="K270" s="3" t="s">
        <v>24</v>
      </c>
      <c r="L270" s="3" t="s">
        <v>25</v>
      </c>
      <c r="M270" s="4" t="s">
        <v>340</v>
      </c>
      <c r="N270" s="2">
        <v>23400.0</v>
      </c>
      <c r="O270" s="2">
        <v>21750.0</v>
      </c>
      <c r="P270" s="5">
        <v>41991.0</v>
      </c>
      <c r="Q270" s="3" t="s">
        <v>27</v>
      </c>
    </row>
    <row r="271" ht="22.5" customHeight="1">
      <c r="A271" s="2">
        <v>2013.0</v>
      </c>
      <c r="B271" s="3" t="s">
        <v>336</v>
      </c>
      <c r="C271" s="3" t="s">
        <v>337</v>
      </c>
      <c r="D271" s="4" t="s">
        <v>338</v>
      </c>
      <c r="E271" s="3" t="s">
        <v>337</v>
      </c>
      <c r="F271" s="3" t="s">
        <v>21</v>
      </c>
      <c r="G271" s="3" t="s">
        <v>443</v>
      </c>
      <c r="H271" s="4" t="s">
        <v>23</v>
      </c>
      <c r="I271" s="2">
        <v>41.0</v>
      </c>
      <c r="J271" s="2">
        <v>17672.0</v>
      </c>
      <c r="K271" s="3" t="s">
        <v>25</v>
      </c>
      <c r="L271" s="3" t="s">
        <v>25</v>
      </c>
      <c r="M271" s="4" t="s">
        <v>340</v>
      </c>
      <c r="N271" s="2">
        <v>23500.0</v>
      </c>
      <c r="O271" s="2">
        <v>21500.0</v>
      </c>
      <c r="P271" s="5">
        <v>41991.0</v>
      </c>
      <c r="Q271" s="3" t="s">
        <v>27</v>
      </c>
    </row>
    <row r="272" ht="22.5" customHeight="1">
      <c r="A272" s="2">
        <v>2013.0</v>
      </c>
      <c r="B272" s="3" t="s">
        <v>336</v>
      </c>
      <c r="C272" s="3" t="s">
        <v>337</v>
      </c>
      <c r="D272" s="4" t="s">
        <v>338</v>
      </c>
      <c r="E272" s="3" t="s">
        <v>337</v>
      </c>
      <c r="F272" s="3" t="s">
        <v>21</v>
      </c>
      <c r="G272" s="3" t="s">
        <v>444</v>
      </c>
      <c r="H272" s="4" t="s">
        <v>23</v>
      </c>
      <c r="I272" s="2">
        <v>37.0</v>
      </c>
      <c r="J272" s="2">
        <v>16486.0</v>
      </c>
      <c r="K272" s="3" t="s">
        <v>25</v>
      </c>
      <c r="L272" s="3" t="s">
        <v>25</v>
      </c>
      <c r="M272" s="4" t="s">
        <v>340</v>
      </c>
      <c r="N272" s="2">
        <v>23700.0</v>
      </c>
      <c r="O272" s="2">
        <v>24000.0</v>
      </c>
      <c r="P272" s="5">
        <v>41991.0</v>
      </c>
      <c r="Q272" s="3" t="s">
        <v>27</v>
      </c>
    </row>
    <row r="273" ht="22.5" customHeight="1">
      <c r="A273" s="2">
        <v>2013.0</v>
      </c>
      <c r="B273" s="3" t="s">
        <v>336</v>
      </c>
      <c r="C273" s="3" t="s">
        <v>337</v>
      </c>
      <c r="D273" s="4" t="s">
        <v>338</v>
      </c>
      <c r="E273" s="3" t="s">
        <v>337</v>
      </c>
      <c r="F273" s="3" t="s">
        <v>21</v>
      </c>
      <c r="G273" s="3" t="s">
        <v>445</v>
      </c>
      <c r="H273" s="4" t="s">
        <v>23</v>
      </c>
      <c r="I273" s="2">
        <v>43.0</v>
      </c>
      <c r="J273" s="2">
        <v>11596.0</v>
      </c>
      <c r="K273" s="3" t="s">
        <v>32</v>
      </c>
      <c r="L273" s="3" t="s">
        <v>25</v>
      </c>
      <c r="M273" s="4" t="s">
        <v>340</v>
      </c>
      <c r="N273" s="2">
        <v>24300.0</v>
      </c>
      <c r="O273" s="2">
        <v>26000.0</v>
      </c>
      <c r="P273" s="5">
        <v>41991.0</v>
      </c>
      <c r="Q273" s="3" t="s">
        <v>27</v>
      </c>
    </row>
    <row r="274" ht="22.5" customHeight="1">
      <c r="A274" s="2">
        <v>2013.0</v>
      </c>
      <c r="B274" s="3" t="s">
        <v>336</v>
      </c>
      <c r="C274" s="3" t="s">
        <v>337</v>
      </c>
      <c r="D274" s="4" t="s">
        <v>338</v>
      </c>
      <c r="E274" s="3" t="s">
        <v>337</v>
      </c>
      <c r="F274" s="3" t="s">
        <v>21</v>
      </c>
      <c r="G274" s="3" t="s">
        <v>446</v>
      </c>
      <c r="H274" s="4" t="s">
        <v>23</v>
      </c>
      <c r="I274" s="2">
        <v>42.0</v>
      </c>
      <c r="J274" s="2">
        <v>16153.0</v>
      </c>
      <c r="K274" s="3" t="s">
        <v>167</v>
      </c>
      <c r="L274" s="3" t="s">
        <v>25</v>
      </c>
      <c r="M274" s="4" t="s">
        <v>340</v>
      </c>
      <c r="N274" s="2">
        <v>23700.0</v>
      </c>
      <c r="O274" s="2">
        <v>24000.0</v>
      </c>
      <c r="P274" s="5">
        <v>41991.0</v>
      </c>
      <c r="Q274" s="3" t="s">
        <v>27</v>
      </c>
    </row>
    <row r="275" ht="22.5" customHeight="1">
      <c r="A275" s="2">
        <v>2013.0</v>
      </c>
      <c r="B275" s="3" t="s">
        <v>336</v>
      </c>
      <c r="C275" s="3" t="s">
        <v>337</v>
      </c>
      <c r="D275" s="4" t="s">
        <v>338</v>
      </c>
      <c r="E275" s="3" t="s">
        <v>337</v>
      </c>
      <c r="F275" s="3" t="s">
        <v>21</v>
      </c>
      <c r="G275" s="3" t="s">
        <v>447</v>
      </c>
      <c r="H275" s="4" t="s">
        <v>23</v>
      </c>
      <c r="I275" s="2">
        <v>44.0</v>
      </c>
      <c r="J275" s="2">
        <v>9785.0</v>
      </c>
      <c r="K275" s="3" t="s">
        <v>167</v>
      </c>
      <c r="L275" s="3" t="s">
        <v>25</v>
      </c>
      <c r="M275" s="4" t="s">
        <v>340</v>
      </c>
      <c r="N275" s="2">
        <v>24500.0</v>
      </c>
      <c r="O275" s="2">
        <v>23000.0</v>
      </c>
      <c r="P275" s="5">
        <v>41991.0</v>
      </c>
      <c r="Q275" s="3" t="s">
        <v>27</v>
      </c>
    </row>
    <row r="276" ht="22.5" customHeight="1">
      <c r="A276" s="2">
        <v>2013.0</v>
      </c>
      <c r="B276" s="3" t="s">
        <v>336</v>
      </c>
      <c r="C276" s="3" t="s">
        <v>342</v>
      </c>
      <c r="D276" s="4" t="s">
        <v>343</v>
      </c>
      <c r="E276" s="3" t="s">
        <v>342</v>
      </c>
      <c r="F276" s="3" t="s">
        <v>21</v>
      </c>
      <c r="G276" s="3" t="s">
        <v>448</v>
      </c>
      <c r="H276" s="4" t="s">
        <v>23</v>
      </c>
      <c r="I276" s="2">
        <v>36.0</v>
      </c>
      <c r="J276" s="2">
        <v>26843.0</v>
      </c>
      <c r="K276" s="3" t="s">
        <v>24</v>
      </c>
      <c r="L276" s="3" t="s">
        <v>25</v>
      </c>
      <c r="M276" s="4" t="s">
        <v>340</v>
      </c>
      <c r="N276" s="2">
        <v>24400.0</v>
      </c>
      <c r="O276" s="2">
        <v>24250.0</v>
      </c>
      <c r="P276" s="5">
        <v>41991.0</v>
      </c>
      <c r="Q276" s="3" t="s">
        <v>27</v>
      </c>
    </row>
    <row r="277" ht="22.5" customHeight="1">
      <c r="A277" s="2">
        <v>2013.0</v>
      </c>
      <c r="B277" s="3" t="s">
        <v>336</v>
      </c>
      <c r="C277" s="3" t="s">
        <v>342</v>
      </c>
      <c r="D277" s="4" t="s">
        <v>343</v>
      </c>
      <c r="E277" s="3" t="s">
        <v>342</v>
      </c>
      <c r="F277" s="3" t="s">
        <v>21</v>
      </c>
      <c r="G277" s="3" t="s">
        <v>449</v>
      </c>
      <c r="H277" s="4" t="s">
        <v>23</v>
      </c>
      <c r="I277" s="2">
        <v>37.0</v>
      </c>
      <c r="J277" s="2">
        <v>18548.0</v>
      </c>
      <c r="K277" s="3" t="s">
        <v>24</v>
      </c>
      <c r="L277" s="3" t="s">
        <v>25</v>
      </c>
      <c r="M277" s="4" t="s">
        <v>340</v>
      </c>
      <c r="N277" s="2">
        <v>25400.0</v>
      </c>
      <c r="O277" s="2">
        <v>25000.0</v>
      </c>
      <c r="P277" s="5">
        <v>41991.0</v>
      </c>
      <c r="Q277" s="3" t="s">
        <v>27</v>
      </c>
    </row>
    <row r="278" ht="22.5" customHeight="1">
      <c r="A278" s="2">
        <v>2013.0</v>
      </c>
      <c r="B278" s="3" t="s">
        <v>336</v>
      </c>
      <c r="C278" s="3" t="s">
        <v>337</v>
      </c>
      <c r="D278" s="4" t="s">
        <v>338</v>
      </c>
      <c r="E278" s="3" t="s">
        <v>337</v>
      </c>
      <c r="F278" s="3" t="s">
        <v>21</v>
      </c>
      <c r="G278" s="3" t="s">
        <v>450</v>
      </c>
      <c r="H278" s="4" t="s">
        <v>23</v>
      </c>
      <c r="I278" s="2">
        <v>42.0</v>
      </c>
      <c r="J278" s="2">
        <v>25016.0</v>
      </c>
      <c r="K278" s="3" t="s">
        <v>32</v>
      </c>
      <c r="L278" s="3" t="s">
        <v>25</v>
      </c>
      <c r="M278" s="4" t="s">
        <v>340</v>
      </c>
      <c r="N278" s="2">
        <v>22700.0</v>
      </c>
      <c r="O278" s="2">
        <v>24750.0</v>
      </c>
      <c r="P278" s="5">
        <v>41991.0</v>
      </c>
      <c r="Q278" s="3" t="s">
        <v>27</v>
      </c>
    </row>
    <row r="279" ht="22.5" customHeight="1">
      <c r="A279" s="2">
        <v>2013.0</v>
      </c>
      <c r="B279" s="3" t="s">
        <v>336</v>
      </c>
      <c r="C279" s="3" t="s">
        <v>337</v>
      </c>
      <c r="D279" s="4" t="s">
        <v>338</v>
      </c>
      <c r="E279" s="3" t="s">
        <v>337</v>
      </c>
      <c r="F279" s="3" t="s">
        <v>21</v>
      </c>
      <c r="G279" s="3" t="s">
        <v>451</v>
      </c>
      <c r="H279" s="4" t="s">
        <v>23</v>
      </c>
      <c r="I279" s="2">
        <v>44.0</v>
      </c>
      <c r="J279" s="2">
        <v>9535.0</v>
      </c>
      <c r="K279" s="3" t="s">
        <v>25</v>
      </c>
      <c r="L279" s="3" t="s">
        <v>25</v>
      </c>
      <c r="M279" s="4" t="s">
        <v>340</v>
      </c>
      <c r="N279" s="2">
        <v>24500.0</v>
      </c>
      <c r="O279" s="2">
        <v>25000.0</v>
      </c>
      <c r="P279" s="5">
        <v>41991.0</v>
      </c>
      <c r="Q279" s="3" t="s">
        <v>27</v>
      </c>
    </row>
    <row r="280" ht="22.5" customHeight="1">
      <c r="A280" s="2">
        <v>2013.0</v>
      </c>
      <c r="B280" s="3" t="s">
        <v>336</v>
      </c>
      <c r="C280" s="3" t="s">
        <v>337</v>
      </c>
      <c r="D280" s="4" t="s">
        <v>338</v>
      </c>
      <c r="E280" s="3" t="s">
        <v>337</v>
      </c>
      <c r="F280" s="3" t="s">
        <v>21</v>
      </c>
      <c r="G280" s="3" t="s">
        <v>452</v>
      </c>
      <c r="H280" s="4" t="s">
        <v>23</v>
      </c>
      <c r="I280" s="2">
        <v>45.0</v>
      </c>
      <c r="J280" s="2">
        <v>23481.0</v>
      </c>
      <c r="K280" s="3" t="s">
        <v>32</v>
      </c>
      <c r="L280" s="3" t="s">
        <v>25</v>
      </c>
      <c r="M280" s="4" t="s">
        <v>340</v>
      </c>
      <c r="N280" s="2">
        <v>22800.0</v>
      </c>
      <c r="O280" s="2">
        <v>25750.0</v>
      </c>
      <c r="P280" s="5">
        <v>41991.0</v>
      </c>
      <c r="Q280" s="3" t="s">
        <v>27</v>
      </c>
    </row>
    <row r="281" ht="22.5" customHeight="1">
      <c r="A281" s="2">
        <v>2013.0</v>
      </c>
      <c r="B281" s="3" t="s">
        <v>336</v>
      </c>
      <c r="C281" s="3" t="s">
        <v>337</v>
      </c>
      <c r="D281" s="4" t="s">
        <v>338</v>
      </c>
      <c r="E281" s="3" t="s">
        <v>337</v>
      </c>
      <c r="F281" s="3" t="s">
        <v>21</v>
      </c>
      <c r="G281" s="3" t="s">
        <v>453</v>
      </c>
      <c r="H281" s="4" t="s">
        <v>23</v>
      </c>
      <c r="I281" s="2">
        <v>43.0</v>
      </c>
      <c r="J281" s="2">
        <v>13273.0</v>
      </c>
      <c r="K281" s="3" t="s">
        <v>24</v>
      </c>
      <c r="L281" s="3" t="s">
        <v>24</v>
      </c>
      <c r="M281" s="4" t="s">
        <v>340</v>
      </c>
      <c r="N281" s="2">
        <v>24100.0</v>
      </c>
      <c r="O281" s="2">
        <v>25750.0</v>
      </c>
      <c r="P281" s="5">
        <v>41991.0</v>
      </c>
      <c r="Q281" s="3" t="s">
        <v>27</v>
      </c>
    </row>
    <row r="282" ht="22.5" customHeight="1">
      <c r="A282" s="2">
        <v>2013.0</v>
      </c>
      <c r="B282" s="3" t="s">
        <v>336</v>
      </c>
      <c r="C282" s="3" t="s">
        <v>337</v>
      </c>
      <c r="D282" s="4" t="s">
        <v>338</v>
      </c>
      <c r="E282" s="3" t="s">
        <v>337</v>
      </c>
      <c r="F282" s="3" t="s">
        <v>21</v>
      </c>
      <c r="G282" s="3" t="s">
        <v>454</v>
      </c>
      <c r="H282" s="4" t="s">
        <v>23</v>
      </c>
      <c r="I282" s="2">
        <v>44.0</v>
      </c>
      <c r="J282" s="2">
        <v>16833.0</v>
      </c>
      <c r="K282" s="3" t="s">
        <v>24</v>
      </c>
      <c r="L282" s="3" t="s">
        <v>25</v>
      </c>
      <c r="M282" s="4" t="s">
        <v>340</v>
      </c>
      <c r="N282" s="2">
        <v>23600.0</v>
      </c>
      <c r="O282" s="2">
        <v>24750.0</v>
      </c>
      <c r="P282" s="5">
        <v>41991.0</v>
      </c>
      <c r="Q282" s="3" t="s">
        <v>27</v>
      </c>
    </row>
    <row r="283" ht="22.5" customHeight="1">
      <c r="A283" s="2">
        <v>2013.0</v>
      </c>
      <c r="B283" s="3" t="s">
        <v>336</v>
      </c>
      <c r="C283" s="3" t="s">
        <v>337</v>
      </c>
      <c r="D283" s="4" t="s">
        <v>338</v>
      </c>
      <c r="E283" s="3" t="s">
        <v>337</v>
      </c>
      <c r="F283" s="3" t="s">
        <v>21</v>
      </c>
      <c r="G283" s="3" t="s">
        <v>455</v>
      </c>
      <c r="H283" s="4" t="s">
        <v>23</v>
      </c>
      <c r="I283" s="2">
        <v>42.0</v>
      </c>
      <c r="J283" s="2">
        <v>20070.0</v>
      </c>
      <c r="K283" s="3" t="s">
        <v>24</v>
      </c>
      <c r="L283" s="3" t="s">
        <v>25</v>
      </c>
      <c r="M283" s="4" t="s">
        <v>340</v>
      </c>
      <c r="N283" s="2">
        <v>23300.0</v>
      </c>
      <c r="O283" s="2">
        <v>22000.0</v>
      </c>
      <c r="P283" s="5">
        <v>41991.0</v>
      </c>
      <c r="Q283" s="3" t="s">
        <v>27</v>
      </c>
    </row>
    <row r="284" ht="22.5" customHeight="1">
      <c r="A284" s="2">
        <v>2013.0</v>
      </c>
      <c r="B284" s="3" t="s">
        <v>336</v>
      </c>
      <c r="C284" s="3" t="s">
        <v>337</v>
      </c>
      <c r="D284" s="4" t="s">
        <v>338</v>
      </c>
      <c r="E284" s="3" t="s">
        <v>337</v>
      </c>
      <c r="F284" s="3" t="s">
        <v>21</v>
      </c>
      <c r="G284" s="3" t="s">
        <v>456</v>
      </c>
      <c r="H284" s="4" t="s">
        <v>23</v>
      </c>
      <c r="I284" s="2">
        <v>39.0</v>
      </c>
      <c r="J284" s="2">
        <v>13632.0</v>
      </c>
      <c r="K284" s="3" t="s">
        <v>24</v>
      </c>
      <c r="L284" s="3" t="s">
        <v>24</v>
      </c>
      <c r="M284" s="4" t="s">
        <v>340</v>
      </c>
      <c r="N284" s="2">
        <v>24000.0</v>
      </c>
      <c r="O284" s="2">
        <v>22000.0</v>
      </c>
      <c r="P284" s="5">
        <v>41991.0</v>
      </c>
      <c r="Q284" s="3" t="s">
        <v>27</v>
      </c>
    </row>
    <row r="285" ht="22.5" customHeight="1">
      <c r="A285" s="2">
        <v>2013.0</v>
      </c>
      <c r="B285" s="3" t="s">
        <v>336</v>
      </c>
      <c r="C285" s="3" t="s">
        <v>337</v>
      </c>
      <c r="D285" s="4" t="s">
        <v>338</v>
      </c>
      <c r="E285" s="3" t="s">
        <v>337</v>
      </c>
      <c r="F285" s="3" t="s">
        <v>21</v>
      </c>
      <c r="G285" s="3" t="s">
        <v>457</v>
      </c>
      <c r="H285" s="4" t="s">
        <v>23</v>
      </c>
      <c r="I285" s="2">
        <v>42.0</v>
      </c>
      <c r="J285" s="2">
        <v>20432.0</v>
      </c>
      <c r="K285" s="3" t="s">
        <v>32</v>
      </c>
      <c r="L285" s="3" t="s">
        <v>25</v>
      </c>
      <c r="M285" s="4" t="s">
        <v>340</v>
      </c>
      <c r="N285" s="2">
        <v>23200.0</v>
      </c>
      <c r="O285" s="2">
        <v>24250.0</v>
      </c>
      <c r="P285" s="5">
        <v>41991.0</v>
      </c>
      <c r="Q285" s="3" t="s">
        <v>27</v>
      </c>
    </row>
    <row r="286" ht="22.5" customHeight="1">
      <c r="A286" s="2">
        <v>2013.0</v>
      </c>
      <c r="B286" s="3" t="s">
        <v>336</v>
      </c>
      <c r="C286" s="3" t="s">
        <v>337</v>
      </c>
      <c r="D286" s="4" t="s">
        <v>338</v>
      </c>
      <c r="E286" s="3" t="s">
        <v>337</v>
      </c>
      <c r="F286" s="3" t="s">
        <v>21</v>
      </c>
      <c r="G286" s="3" t="s">
        <v>458</v>
      </c>
      <c r="H286" s="4" t="s">
        <v>23</v>
      </c>
      <c r="I286" s="2">
        <v>4.0</v>
      </c>
      <c r="J286" s="2">
        <v>33838.0</v>
      </c>
      <c r="K286" s="3" t="s">
        <v>24</v>
      </c>
      <c r="L286" s="3" t="s">
        <v>25</v>
      </c>
      <c r="M286" s="4" t="s">
        <v>340</v>
      </c>
      <c r="N286" s="2">
        <v>21600.0</v>
      </c>
      <c r="O286" s="2">
        <v>20250.0</v>
      </c>
      <c r="P286" s="5">
        <v>41991.0</v>
      </c>
      <c r="Q286" s="3" t="s">
        <v>27</v>
      </c>
    </row>
    <row r="287" ht="22.5" customHeight="1">
      <c r="A287" s="2">
        <v>2013.0</v>
      </c>
      <c r="B287" s="3" t="s">
        <v>336</v>
      </c>
      <c r="C287" s="3" t="s">
        <v>337</v>
      </c>
      <c r="D287" s="4" t="s">
        <v>338</v>
      </c>
      <c r="E287" s="3" t="s">
        <v>337</v>
      </c>
      <c r="F287" s="3" t="s">
        <v>21</v>
      </c>
      <c r="G287" s="3" t="s">
        <v>459</v>
      </c>
      <c r="H287" s="4" t="s">
        <v>23</v>
      </c>
      <c r="I287" s="2">
        <v>43.0</v>
      </c>
      <c r="J287" s="2">
        <v>19683.0</v>
      </c>
      <c r="K287" s="3" t="s">
        <v>24</v>
      </c>
      <c r="L287" s="3" t="s">
        <v>25</v>
      </c>
      <c r="M287" s="4" t="s">
        <v>340</v>
      </c>
      <c r="N287" s="2">
        <v>23300.0</v>
      </c>
      <c r="O287" s="2">
        <v>26000.0</v>
      </c>
      <c r="P287" s="5">
        <v>41991.0</v>
      </c>
      <c r="Q287" s="3" t="s">
        <v>27</v>
      </c>
    </row>
    <row r="288" ht="22.5" customHeight="1">
      <c r="A288" s="2">
        <v>2013.0</v>
      </c>
      <c r="B288" s="3" t="s">
        <v>336</v>
      </c>
      <c r="C288" s="3" t="s">
        <v>337</v>
      </c>
      <c r="D288" s="4" t="s">
        <v>347</v>
      </c>
      <c r="E288" s="3" t="s">
        <v>337</v>
      </c>
      <c r="F288" s="3" t="s">
        <v>21</v>
      </c>
      <c r="G288" s="3" t="s">
        <v>460</v>
      </c>
      <c r="H288" s="4" t="s">
        <v>23</v>
      </c>
      <c r="I288" s="2">
        <v>44.0</v>
      </c>
      <c r="J288" s="2">
        <v>37527.0</v>
      </c>
      <c r="K288" s="3" t="s">
        <v>32</v>
      </c>
      <c r="L288" s="3" t="s">
        <v>25</v>
      </c>
      <c r="M288" s="4" t="s">
        <v>340</v>
      </c>
      <c r="N288" s="2">
        <v>21700.0</v>
      </c>
      <c r="O288" s="2">
        <v>23000.0</v>
      </c>
      <c r="P288" s="5">
        <v>41991.0</v>
      </c>
      <c r="Q288" s="3" t="s">
        <v>27</v>
      </c>
    </row>
    <row r="289" ht="22.5" customHeight="1">
      <c r="A289" s="2">
        <v>2013.0</v>
      </c>
      <c r="B289" s="3" t="s">
        <v>336</v>
      </c>
      <c r="C289" s="3" t="s">
        <v>337</v>
      </c>
      <c r="D289" s="4" t="s">
        <v>347</v>
      </c>
      <c r="E289" s="3" t="s">
        <v>337</v>
      </c>
      <c r="F289" s="3" t="s">
        <v>21</v>
      </c>
      <c r="G289" s="3" t="s">
        <v>461</v>
      </c>
      <c r="H289" s="4" t="s">
        <v>23</v>
      </c>
      <c r="I289" s="2">
        <v>38.0</v>
      </c>
      <c r="J289" s="2">
        <v>23642.0</v>
      </c>
      <c r="K289" s="3" t="s">
        <v>24</v>
      </c>
      <c r="L289" s="3" t="s">
        <v>25</v>
      </c>
      <c r="M289" s="4" t="s">
        <v>340</v>
      </c>
      <c r="N289" s="2">
        <v>23300.0</v>
      </c>
      <c r="O289" s="2">
        <v>23000.0</v>
      </c>
      <c r="P289" s="5">
        <v>41991.0</v>
      </c>
      <c r="Q289" s="3" t="s">
        <v>27</v>
      </c>
    </row>
    <row r="290" ht="22.5" customHeight="1">
      <c r="A290" s="2">
        <v>2013.0</v>
      </c>
      <c r="B290" s="3" t="s">
        <v>336</v>
      </c>
      <c r="C290" s="3" t="s">
        <v>462</v>
      </c>
      <c r="D290" s="4" t="s">
        <v>463</v>
      </c>
      <c r="E290" s="3" t="s">
        <v>20</v>
      </c>
      <c r="F290" s="3" t="s">
        <v>21</v>
      </c>
      <c r="G290" s="3" t="s">
        <v>464</v>
      </c>
      <c r="H290" s="4" t="s">
        <v>23</v>
      </c>
      <c r="I290" s="2">
        <v>41.0</v>
      </c>
      <c r="J290" s="2">
        <v>9338.0</v>
      </c>
      <c r="K290" s="3" t="s">
        <v>32</v>
      </c>
      <c r="L290" s="3" t="s">
        <v>25</v>
      </c>
      <c r="M290" s="4" t="s">
        <v>465</v>
      </c>
      <c r="N290" s="2">
        <v>34700.0</v>
      </c>
      <c r="O290" s="2">
        <v>34500.0</v>
      </c>
      <c r="P290" s="5">
        <v>41991.0</v>
      </c>
      <c r="Q290" s="3" t="s">
        <v>27</v>
      </c>
    </row>
    <row r="291" ht="22.5" customHeight="1">
      <c r="A291" s="2">
        <v>2013.0</v>
      </c>
      <c r="B291" s="3" t="s">
        <v>336</v>
      </c>
      <c r="C291" s="3" t="s">
        <v>337</v>
      </c>
      <c r="D291" s="4" t="s">
        <v>347</v>
      </c>
      <c r="E291" s="3" t="s">
        <v>337</v>
      </c>
      <c r="F291" s="3" t="s">
        <v>21</v>
      </c>
      <c r="G291" s="3" t="s">
        <v>466</v>
      </c>
      <c r="H291" s="4" t="s">
        <v>23</v>
      </c>
      <c r="I291" s="2">
        <v>38.0</v>
      </c>
      <c r="J291" s="2">
        <v>46548.0</v>
      </c>
      <c r="K291" s="3" t="s">
        <v>24</v>
      </c>
      <c r="L291" s="3" t="s">
        <v>24</v>
      </c>
      <c r="M291" s="4" t="s">
        <v>340</v>
      </c>
      <c r="N291" s="2">
        <v>20700.0</v>
      </c>
      <c r="O291" s="2">
        <v>21000.0</v>
      </c>
      <c r="P291" s="5">
        <v>41991.0</v>
      </c>
      <c r="Q291" s="3" t="s">
        <v>27</v>
      </c>
    </row>
    <row r="292" ht="22.5" customHeight="1">
      <c r="A292" s="2">
        <v>2013.0</v>
      </c>
      <c r="B292" s="3" t="s">
        <v>336</v>
      </c>
      <c r="C292" s="3" t="s">
        <v>337</v>
      </c>
      <c r="D292" s="4" t="s">
        <v>338</v>
      </c>
      <c r="E292" s="3" t="s">
        <v>337</v>
      </c>
      <c r="F292" s="3" t="s">
        <v>21</v>
      </c>
      <c r="G292" s="3" t="s">
        <v>467</v>
      </c>
      <c r="H292" s="4" t="s">
        <v>23</v>
      </c>
      <c r="I292" s="2">
        <v>45.0</v>
      </c>
      <c r="J292" s="2">
        <v>35450.0</v>
      </c>
      <c r="K292" s="3" t="s">
        <v>24</v>
      </c>
      <c r="L292" s="3" t="s">
        <v>25</v>
      </c>
      <c r="M292" s="4" t="s">
        <v>340</v>
      </c>
      <c r="N292" s="2">
        <v>21400.0</v>
      </c>
      <c r="O292" s="2">
        <v>23000.0</v>
      </c>
      <c r="P292" s="5">
        <v>41991.0</v>
      </c>
      <c r="Q292" s="3" t="s">
        <v>27</v>
      </c>
    </row>
    <row r="293" ht="22.5" customHeight="1">
      <c r="A293" s="2">
        <v>2013.0</v>
      </c>
      <c r="B293" s="3" t="s">
        <v>336</v>
      </c>
      <c r="C293" s="3" t="s">
        <v>337</v>
      </c>
      <c r="D293" s="4" t="s">
        <v>338</v>
      </c>
      <c r="E293" s="3" t="s">
        <v>337</v>
      </c>
      <c r="F293" s="3" t="s">
        <v>131</v>
      </c>
      <c r="G293" s="3" t="s">
        <v>468</v>
      </c>
      <c r="H293" s="4" t="s">
        <v>23</v>
      </c>
      <c r="I293" s="2">
        <v>43.0</v>
      </c>
      <c r="J293" s="2">
        <v>13149.0</v>
      </c>
      <c r="K293" s="3" t="s">
        <v>25</v>
      </c>
      <c r="L293" s="3" t="s">
        <v>25</v>
      </c>
      <c r="M293" s="4" t="s">
        <v>340</v>
      </c>
      <c r="N293" s="2">
        <v>27100.0</v>
      </c>
      <c r="O293" s="2">
        <v>28250.0</v>
      </c>
      <c r="P293" s="5">
        <v>41991.0</v>
      </c>
      <c r="Q293" s="3" t="s">
        <v>27</v>
      </c>
    </row>
    <row r="294" ht="22.5" customHeight="1">
      <c r="A294" s="2">
        <v>2013.0</v>
      </c>
      <c r="B294" s="3" t="s">
        <v>336</v>
      </c>
      <c r="C294" s="3" t="s">
        <v>342</v>
      </c>
      <c r="D294" s="4" t="s">
        <v>343</v>
      </c>
      <c r="E294" s="3" t="s">
        <v>342</v>
      </c>
      <c r="F294" s="3" t="s">
        <v>131</v>
      </c>
      <c r="G294" s="3" t="s">
        <v>469</v>
      </c>
      <c r="H294" s="4" t="s">
        <v>23</v>
      </c>
      <c r="I294" s="2">
        <v>35.0</v>
      </c>
      <c r="J294" s="2">
        <v>19058.0</v>
      </c>
      <c r="K294" s="3" t="s">
        <v>25</v>
      </c>
      <c r="L294" s="3" t="s">
        <v>25</v>
      </c>
      <c r="M294" s="4" t="s">
        <v>340</v>
      </c>
      <c r="N294" s="2">
        <v>27300.0</v>
      </c>
      <c r="O294" s="2">
        <v>28750.0</v>
      </c>
      <c r="P294" s="5">
        <v>41991.0</v>
      </c>
      <c r="Q294" s="3" t="s">
        <v>27</v>
      </c>
    </row>
    <row r="295" ht="22.5" customHeight="1">
      <c r="A295" s="2">
        <v>2013.0</v>
      </c>
      <c r="B295" s="3" t="s">
        <v>336</v>
      </c>
      <c r="C295" s="3" t="s">
        <v>462</v>
      </c>
      <c r="D295" s="4" t="s">
        <v>463</v>
      </c>
      <c r="E295" s="3" t="s">
        <v>20</v>
      </c>
      <c r="F295" s="3" t="s">
        <v>21</v>
      </c>
      <c r="G295" s="3" t="s">
        <v>470</v>
      </c>
      <c r="H295" s="4" t="s">
        <v>23</v>
      </c>
      <c r="I295" s="2">
        <v>43.0</v>
      </c>
      <c r="J295" s="2">
        <v>9810.0</v>
      </c>
      <c r="K295" s="3" t="s">
        <v>36</v>
      </c>
      <c r="L295" s="3" t="s">
        <v>25</v>
      </c>
      <c r="M295" s="4" t="s">
        <v>465</v>
      </c>
      <c r="N295" s="2">
        <v>34600.0</v>
      </c>
      <c r="O295" s="2">
        <v>30000.0</v>
      </c>
      <c r="P295" s="5">
        <v>41991.0</v>
      </c>
      <c r="Q295" s="3" t="s">
        <v>27</v>
      </c>
    </row>
    <row r="296" ht="22.5" customHeight="1">
      <c r="A296" s="2">
        <v>2013.0</v>
      </c>
      <c r="B296" s="3" t="s">
        <v>336</v>
      </c>
      <c r="C296" s="3" t="s">
        <v>462</v>
      </c>
      <c r="D296" s="4" t="s">
        <v>463</v>
      </c>
      <c r="E296" s="3" t="s">
        <v>20</v>
      </c>
      <c r="F296" s="3" t="s">
        <v>21</v>
      </c>
      <c r="G296" s="3" t="s">
        <v>471</v>
      </c>
      <c r="H296" s="4" t="s">
        <v>23</v>
      </c>
      <c r="I296" s="2">
        <v>45.0</v>
      </c>
      <c r="J296" s="2">
        <v>8691.0</v>
      </c>
      <c r="K296" s="3" t="s">
        <v>25</v>
      </c>
      <c r="L296" s="3" t="s">
        <v>25</v>
      </c>
      <c r="M296" s="4" t="s">
        <v>465</v>
      </c>
      <c r="N296" s="2">
        <v>34800.0</v>
      </c>
      <c r="O296" s="2">
        <v>33500.0</v>
      </c>
      <c r="P296" s="5">
        <v>41991.0</v>
      </c>
      <c r="Q296" s="3" t="s">
        <v>27</v>
      </c>
    </row>
    <row r="297" ht="22.5" customHeight="1">
      <c r="A297" s="2">
        <v>2013.0</v>
      </c>
      <c r="B297" s="3" t="s">
        <v>336</v>
      </c>
      <c r="C297" s="3" t="s">
        <v>337</v>
      </c>
      <c r="D297" s="4" t="s">
        <v>338</v>
      </c>
      <c r="E297" s="3" t="s">
        <v>337</v>
      </c>
      <c r="F297" s="3" t="s">
        <v>21</v>
      </c>
      <c r="G297" s="3" t="s">
        <v>472</v>
      </c>
      <c r="H297" s="4" t="s">
        <v>23</v>
      </c>
      <c r="I297" s="2">
        <v>44.0</v>
      </c>
      <c r="J297" s="2">
        <v>32635.0</v>
      </c>
      <c r="K297" s="3" t="s">
        <v>25</v>
      </c>
      <c r="L297" s="3" t="s">
        <v>25</v>
      </c>
      <c r="M297" s="4" t="s">
        <v>340</v>
      </c>
      <c r="N297" s="2">
        <v>21700.0</v>
      </c>
      <c r="O297" s="2">
        <v>21750.0</v>
      </c>
      <c r="P297" s="5">
        <v>41991.0</v>
      </c>
      <c r="Q297" s="3" t="s">
        <v>27</v>
      </c>
    </row>
    <row r="298" ht="22.5" customHeight="1">
      <c r="A298" s="2">
        <v>2013.0</v>
      </c>
      <c r="B298" s="3" t="s">
        <v>336</v>
      </c>
      <c r="C298" s="3" t="s">
        <v>337</v>
      </c>
      <c r="D298" s="4" t="s">
        <v>338</v>
      </c>
      <c r="E298" s="3" t="s">
        <v>337</v>
      </c>
      <c r="F298" s="3" t="s">
        <v>21</v>
      </c>
      <c r="G298" s="3" t="s">
        <v>473</v>
      </c>
      <c r="H298" s="4" t="s">
        <v>23</v>
      </c>
      <c r="I298" s="2">
        <v>37.0</v>
      </c>
      <c r="J298" s="2">
        <v>17337.0</v>
      </c>
      <c r="K298" s="3" t="s">
        <v>32</v>
      </c>
      <c r="L298" s="3" t="s">
        <v>25</v>
      </c>
      <c r="M298" s="4" t="s">
        <v>340</v>
      </c>
      <c r="N298" s="2">
        <v>23600.0</v>
      </c>
      <c r="O298" s="2">
        <v>20250.0</v>
      </c>
      <c r="P298" s="5">
        <v>41996.0</v>
      </c>
      <c r="Q298" s="3" t="s">
        <v>42</v>
      </c>
    </row>
    <row r="299" ht="22.5" customHeight="1">
      <c r="A299" s="2">
        <v>2013.0</v>
      </c>
      <c r="B299" s="3" t="s">
        <v>336</v>
      </c>
      <c r="C299" s="3" t="s">
        <v>337</v>
      </c>
      <c r="D299" s="4" t="s">
        <v>338</v>
      </c>
      <c r="E299" s="3" t="s">
        <v>337</v>
      </c>
      <c r="F299" s="3" t="s">
        <v>21</v>
      </c>
      <c r="G299" s="3" t="s">
        <v>474</v>
      </c>
      <c r="H299" s="4" t="s">
        <v>23</v>
      </c>
      <c r="I299" s="2">
        <v>22.0</v>
      </c>
      <c r="J299" s="2">
        <v>24054.0</v>
      </c>
      <c r="K299" s="3" t="s">
        <v>24</v>
      </c>
      <c r="L299" s="3" t="s">
        <v>25</v>
      </c>
      <c r="M299" s="4" t="s">
        <v>340</v>
      </c>
      <c r="N299" s="2">
        <v>22900.0</v>
      </c>
      <c r="O299" s="2">
        <v>18750.0</v>
      </c>
      <c r="P299" s="5">
        <v>41996.0</v>
      </c>
      <c r="Q299" s="3" t="s">
        <v>42</v>
      </c>
    </row>
    <row r="300" ht="22.5" customHeight="1">
      <c r="A300" s="2">
        <v>2013.0</v>
      </c>
      <c r="B300" s="3" t="s">
        <v>336</v>
      </c>
      <c r="C300" s="3" t="s">
        <v>337</v>
      </c>
      <c r="D300" s="4" t="s">
        <v>338</v>
      </c>
      <c r="E300" s="3" t="s">
        <v>337</v>
      </c>
      <c r="F300" s="3" t="s">
        <v>21</v>
      </c>
      <c r="G300" s="3" t="s">
        <v>475</v>
      </c>
      <c r="H300" s="4" t="s">
        <v>23</v>
      </c>
      <c r="I300" s="2">
        <v>26.0</v>
      </c>
      <c r="J300" s="2">
        <v>14264.0</v>
      </c>
      <c r="K300" s="3" t="s">
        <v>32</v>
      </c>
      <c r="L300" s="3" t="s">
        <v>230</v>
      </c>
      <c r="M300" s="4" t="s">
        <v>340</v>
      </c>
      <c r="N300" s="2">
        <v>23900.0</v>
      </c>
      <c r="O300" s="2">
        <v>20750.0</v>
      </c>
      <c r="P300" s="5">
        <v>41996.0</v>
      </c>
      <c r="Q300" s="3" t="s">
        <v>42</v>
      </c>
    </row>
    <row r="301" ht="22.5" customHeight="1">
      <c r="A301" s="2">
        <v>2013.0</v>
      </c>
      <c r="B301" s="3" t="s">
        <v>336</v>
      </c>
      <c r="C301" s="3" t="s">
        <v>374</v>
      </c>
      <c r="D301" s="4" t="s">
        <v>375</v>
      </c>
      <c r="E301" s="3" t="s">
        <v>30</v>
      </c>
      <c r="F301" s="3" t="s">
        <v>21</v>
      </c>
      <c r="G301" s="3" t="s">
        <v>476</v>
      </c>
      <c r="H301" s="4" t="s">
        <v>23</v>
      </c>
      <c r="I301" s="2">
        <v>41.0</v>
      </c>
      <c r="J301" s="2">
        <v>40087.0</v>
      </c>
      <c r="K301" s="3" t="s">
        <v>24</v>
      </c>
      <c r="L301" s="3" t="s">
        <v>25</v>
      </c>
      <c r="M301" s="4" t="s">
        <v>351</v>
      </c>
      <c r="N301" s="2">
        <v>27700.0</v>
      </c>
      <c r="O301" s="2">
        <v>27250.0</v>
      </c>
      <c r="P301" s="5">
        <v>41996.0</v>
      </c>
      <c r="Q301" s="3" t="s">
        <v>42</v>
      </c>
    </row>
    <row r="302" ht="22.5" customHeight="1">
      <c r="A302" s="2">
        <v>2013.0</v>
      </c>
      <c r="B302" s="3" t="s">
        <v>336</v>
      </c>
      <c r="C302" s="3" t="s">
        <v>337</v>
      </c>
      <c r="D302" s="4" t="s">
        <v>338</v>
      </c>
      <c r="E302" s="3" t="s">
        <v>337</v>
      </c>
      <c r="F302" s="3" t="s">
        <v>21</v>
      </c>
      <c r="G302" s="3" t="s">
        <v>477</v>
      </c>
      <c r="H302" s="4" t="s">
        <v>23</v>
      </c>
      <c r="I302" s="2">
        <v>37.0</v>
      </c>
      <c r="J302" s="2">
        <v>20707.0</v>
      </c>
      <c r="K302" s="3" t="s">
        <v>32</v>
      </c>
      <c r="L302" s="3" t="s">
        <v>25</v>
      </c>
      <c r="M302" s="4" t="s">
        <v>340</v>
      </c>
      <c r="N302" s="2">
        <v>23200.0</v>
      </c>
      <c r="O302" s="2">
        <v>23500.0</v>
      </c>
      <c r="P302" s="5">
        <v>41996.0</v>
      </c>
      <c r="Q302" s="3" t="s">
        <v>42</v>
      </c>
    </row>
    <row r="303" ht="22.5" customHeight="1">
      <c r="A303" s="2">
        <v>2013.0</v>
      </c>
      <c r="B303" s="3" t="s">
        <v>336</v>
      </c>
      <c r="C303" s="3" t="s">
        <v>337</v>
      </c>
      <c r="D303" s="4" t="s">
        <v>338</v>
      </c>
      <c r="E303" s="3" t="s">
        <v>337</v>
      </c>
      <c r="F303" s="3" t="s">
        <v>21</v>
      </c>
      <c r="G303" s="3" t="s">
        <v>478</v>
      </c>
      <c r="H303" s="4" t="s">
        <v>23</v>
      </c>
      <c r="I303" s="2">
        <v>44.0</v>
      </c>
      <c r="J303" s="2">
        <v>32437.0</v>
      </c>
      <c r="K303" s="3" t="s">
        <v>32</v>
      </c>
      <c r="L303" s="3" t="s">
        <v>25</v>
      </c>
      <c r="M303" s="4" t="s">
        <v>340</v>
      </c>
      <c r="N303" s="2">
        <v>22000.0</v>
      </c>
      <c r="O303" s="2">
        <v>20500.0</v>
      </c>
      <c r="P303" s="5">
        <v>41996.0</v>
      </c>
      <c r="Q303" s="3" t="s">
        <v>42</v>
      </c>
    </row>
    <row r="304" ht="22.5" customHeight="1">
      <c r="A304" s="2">
        <v>2013.0</v>
      </c>
      <c r="B304" s="3" t="s">
        <v>336</v>
      </c>
      <c r="C304" s="3" t="s">
        <v>337</v>
      </c>
      <c r="D304" s="4" t="s">
        <v>347</v>
      </c>
      <c r="E304" s="3" t="s">
        <v>337</v>
      </c>
      <c r="F304" s="3" t="s">
        <v>21</v>
      </c>
      <c r="G304" s="3" t="s">
        <v>479</v>
      </c>
      <c r="H304" s="4" t="s">
        <v>23</v>
      </c>
      <c r="I304" s="2">
        <v>43.0</v>
      </c>
      <c r="J304" s="2">
        <v>40101.0</v>
      </c>
      <c r="K304" s="3" t="s">
        <v>167</v>
      </c>
      <c r="L304" s="3" t="s">
        <v>25</v>
      </c>
      <c r="M304" s="4" t="s">
        <v>340</v>
      </c>
      <c r="N304" s="2">
        <v>21600.0</v>
      </c>
      <c r="O304" s="2">
        <v>20250.0</v>
      </c>
      <c r="P304" s="5">
        <v>41996.0</v>
      </c>
      <c r="Q304" s="3" t="s">
        <v>42</v>
      </c>
    </row>
    <row r="305" ht="22.5" customHeight="1">
      <c r="A305" s="2">
        <v>2013.0</v>
      </c>
      <c r="B305" s="3" t="s">
        <v>336</v>
      </c>
      <c r="C305" s="3" t="s">
        <v>342</v>
      </c>
      <c r="D305" s="4" t="s">
        <v>343</v>
      </c>
      <c r="E305" s="3" t="s">
        <v>342</v>
      </c>
      <c r="F305" s="3" t="s">
        <v>21</v>
      </c>
      <c r="G305" s="3" t="s">
        <v>480</v>
      </c>
      <c r="H305" s="4" t="s">
        <v>23</v>
      </c>
      <c r="I305" s="2">
        <v>39.0</v>
      </c>
      <c r="J305" s="2">
        <v>6802.0</v>
      </c>
      <c r="K305" s="3" t="s">
        <v>32</v>
      </c>
      <c r="L305" s="3" t="s">
        <v>25</v>
      </c>
      <c r="M305" s="4" t="s">
        <v>340</v>
      </c>
      <c r="N305" s="2">
        <v>26900.0</v>
      </c>
      <c r="O305" s="2">
        <v>23250.0</v>
      </c>
      <c r="P305" s="5">
        <v>42017.0</v>
      </c>
      <c r="Q305" s="3" t="s">
        <v>42</v>
      </c>
    </row>
    <row r="306" ht="22.5" customHeight="1">
      <c r="A306" s="2">
        <v>2013.0</v>
      </c>
      <c r="B306" s="3" t="s">
        <v>336</v>
      </c>
      <c r="C306" s="3" t="s">
        <v>337</v>
      </c>
      <c r="D306" s="4" t="s">
        <v>338</v>
      </c>
      <c r="E306" s="3" t="s">
        <v>337</v>
      </c>
      <c r="F306" s="3" t="s">
        <v>21</v>
      </c>
      <c r="G306" s="3" t="s">
        <v>481</v>
      </c>
      <c r="H306" s="4" t="s">
        <v>23</v>
      </c>
      <c r="I306" s="2">
        <v>37.0</v>
      </c>
      <c r="J306" s="2">
        <v>29907.0</v>
      </c>
      <c r="K306" s="3" t="s">
        <v>24</v>
      </c>
      <c r="L306" s="3" t="s">
        <v>25</v>
      </c>
      <c r="M306" s="4" t="s">
        <v>340</v>
      </c>
      <c r="N306" s="2">
        <v>21400.0</v>
      </c>
      <c r="O306" s="2">
        <v>21000.0</v>
      </c>
      <c r="P306" s="5">
        <v>42019.0</v>
      </c>
      <c r="Q306" s="3" t="s">
        <v>27</v>
      </c>
    </row>
    <row r="307" ht="22.5" customHeight="1">
      <c r="A307" s="2">
        <v>2013.0</v>
      </c>
      <c r="B307" s="3" t="s">
        <v>336</v>
      </c>
      <c r="C307" s="3" t="s">
        <v>462</v>
      </c>
      <c r="D307" s="4" t="s">
        <v>463</v>
      </c>
      <c r="E307" s="3" t="s">
        <v>20</v>
      </c>
      <c r="F307" s="3" t="s">
        <v>21</v>
      </c>
      <c r="G307" s="3" t="s">
        <v>482</v>
      </c>
      <c r="H307" s="4" t="s">
        <v>23</v>
      </c>
      <c r="I307" s="2">
        <v>42.0</v>
      </c>
      <c r="J307" s="2">
        <v>6787.0</v>
      </c>
      <c r="K307" s="3" t="s">
        <v>36</v>
      </c>
      <c r="L307" s="3" t="s">
        <v>25</v>
      </c>
      <c r="M307" s="4" t="s">
        <v>465</v>
      </c>
      <c r="N307" s="2">
        <v>34600.0</v>
      </c>
      <c r="O307" s="2">
        <v>33500.0</v>
      </c>
      <c r="P307" s="5">
        <v>42019.0</v>
      </c>
      <c r="Q307" s="3" t="s">
        <v>27</v>
      </c>
    </row>
    <row r="308" ht="22.5" customHeight="1">
      <c r="A308" s="2">
        <v>2013.0</v>
      </c>
      <c r="B308" s="3" t="s">
        <v>483</v>
      </c>
      <c r="C308" s="3" t="s">
        <v>484</v>
      </c>
      <c r="D308" s="4" t="s">
        <v>34</v>
      </c>
      <c r="E308" s="3" t="s">
        <v>20</v>
      </c>
      <c r="F308" s="3" t="s">
        <v>21</v>
      </c>
      <c r="G308" s="3" t="s">
        <v>485</v>
      </c>
      <c r="H308" s="4" t="s">
        <v>23</v>
      </c>
      <c r="I308" s="2">
        <v>42.0</v>
      </c>
      <c r="J308" s="2">
        <v>10067.0</v>
      </c>
      <c r="K308" s="3" t="s">
        <v>25</v>
      </c>
      <c r="L308" s="3" t="s">
        <v>230</v>
      </c>
      <c r="M308" s="4" t="s">
        <v>486</v>
      </c>
      <c r="N308" s="2">
        <v>33700.0</v>
      </c>
      <c r="O308" s="2">
        <v>26000.0</v>
      </c>
      <c r="P308" s="5">
        <v>41991.0</v>
      </c>
      <c r="Q308" s="3" t="s">
        <v>27</v>
      </c>
    </row>
    <row r="309" ht="22.5" customHeight="1">
      <c r="A309" s="2">
        <v>2013.0</v>
      </c>
      <c r="B309" s="3" t="s">
        <v>483</v>
      </c>
      <c r="C309" s="3" t="s">
        <v>484</v>
      </c>
      <c r="D309" s="4" t="s">
        <v>34</v>
      </c>
      <c r="E309" s="3" t="s">
        <v>20</v>
      </c>
      <c r="F309" s="3" t="s">
        <v>21</v>
      </c>
      <c r="G309" s="3" t="s">
        <v>487</v>
      </c>
      <c r="H309" s="4" t="s">
        <v>23</v>
      </c>
      <c r="I309" s="2">
        <v>5.0</v>
      </c>
      <c r="J309" s="2">
        <v>6891.0</v>
      </c>
      <c r="K309" s="3" t="s">
        <v>167</v>
      </c>
      <c r="L309" s="3" t="s">
        <v>24</v>
      </c>
      <c r="M309" s="4" t="s">
        <v>486</v>
      </c>
      <c r="N309" s="2">
        <v>34100.0</v>
      </c>
      <c r="O309" s="2">
        <v>26000.0</v>
      </c>
      <c r="P309" s="5">
        <v>41991.0</v>
      </c>
      <c r="Q309" s="3" t="s">
        <v>27</v>
      </c>
    </row>
    <row r="310" ht="22.5" customHeight="1">
      <c r="A310" s="2">
        <v>2013.0</v>
      </c>
      <c r="B310" s="3" t="s">
        <v>488</v>
      </c>
      <c r="C310" s="3" t="s">
        <v>489</v>
      </c>
      <c r="D310" s="4" t="s">
        <v>490</v>
      </c>
      <c r="E310" s="3" t="s">
        <v>30</v>
      </c>
      <c r="F310" s="3" t="s">
        <v>131</v>
      </c>
      <c r="G310" s="3" t="s">
        <v>491</v>
      </c>
      <c r="H310" s="4" t="s">
        <v>23</v>
      </c>
      <c r="I310" s="2">
        <v>47.0</v>
      </c>
      <c r="J310" s="2">
        <v>9153.0</v>
      </c>
      <c r="K310" s="3" t="s">
        <v>139</v>
      </c>
      <c r="L310" s="3" t="s">
        <v>24</v>
      </c>
      <c r="M310" s="4" t="s">
        <v>492</v>
      </c>
      <c r="N310" s="2">
        <v>34300.0</v>
      </c>
      <c r="O310" s="2">
        <v>35250.0</v>
      </c>
      <c r="P310" s="5">
        <v>41989.0</v>
      </c>
      <c r="Q310" s="3" t="s">
        <v>42</v>
      </c>
    </row>
    <row r="311" ht="22.5" customHeight="1">
      <c r="A311" s="2">
        <v>2013.0</v>
      </c>
      <c r="B311" s="3" t="s">
        <v>488</v>
      </c>
      <c r="C311" s="3" t="s">
        <v>493</v>
      </c>
      <c r="D311" s="4" t="s">
        <v>187</v>
      </c>
      <c r="E311" s="3" t="s">
        <v>30</v>
      </c>
      <c r="F311" s="3" t="s">
        <v>21</v>
      </c>
      <c r="G311" s="3" t="s">
        <v>494</v>
      </c>
      <c r="H311" s="4" t="s">
        <v>23</v>
      </c>
      <c r="I311" s="2">
        <v>43.0</v>
      </c>
      <c r="J311" s="2">
        <v>39566.0</v>
      </c>
      <c r="K311" s="3" t="s">
        <v>25</v>
      </c>
      <c r="L311" s="3" t="s">
        <v>25</v>
      </c>
      <c r="M311" s="4" t="s">
        <v>168</v>
      </c>
      <c r="N311" s="2">
        <v>25200.0</v>
      </c>
      <c r="O311" s="2">
        <v>26750.0</v>
      </c>
      <c r="P311" s="5">
        <v>41989.0</v>
      </c>
      <c r="Q311" s="3" t="s">
        <v>42</v>
      </c>
    </row>
    <row r="312" ht="22.5" customHeight="1">
      <c r="A312" s="2">
        <v>2013.0</v>
      </c>
      <c r="B312" s="3" t="s">
        <v>488</v>
      </c>
      <c r="C312" s="3" t="s">
        <v>495</v>
      </c>
      <c r="D312" s="4" t="s">
        <v>496</v>
      </c>
      <c r="E312" s="3" t="s">
        <v>30</v>
      </c>
      <c r="F312" s="3" t="s">
        <v>21</v>
      </c>
      <c r="G312" s="3" t="s">
        <v>497</v>
      </c>
      <c r="H312" s="4" t="s">
        <v>23</v>
      </c>
      <c r="I312" s="2">
        <v>41.0</v>
      </c>
      <c r="J312" s="2">
        <v>32090.0</v>
      </c>
      <c r="K312" s="3" t="s">
        <v>32</v>
      </c>
      <c r="L312" s="3" t="s">
        <v>25</v>
      </c>
      <c r="M312" s="4" t="s">
        <v>498</v>
      </c>
      <c r="N312" s="2">
        <v>12600.0</v>
      </c>
      <c r="O312" s="2">
        <v>13900.0</v>
      </c>
      <c r="P312" s="5">
        <v>41991.0</v>
      </c>
      <c r="Q312" s="3" t="s">
        <v>27</v>
      </c>
    </row>
    <row r="313" ht="22.5" customHeight="1">
      <c r="A313" s="2">
        <v>2013.0</v>
      </c>
      <c r="B313" s="3" t="s">
        <v>488</v>
      </c>
      <c r="C313" s="3" t="s">
        <v>495</v>
      </c>
      <c r="D313" s="4" t="s">
        <v>496</v>
      </c>
      <c r="E313" s="3" t="s">
        <v>30</v>
      </c>
      <c r="F313" s="3" t="s">
        <v>21</v>
      </c>
      <c r="G313" s="3" t="s">
        <v>499</v>
      </c>
      <c r="H313" s="4" t="s">
        <v>23</v>
      </c>
      <c r="I313" s="2">
        <v>27.0</v>
      </c>
      <c r="J313" s="2">
        <v>31688.0</v>
      </c>
      <c r="K313" s="3" t="s">
        <v>139</v>
      </c>
      <c r="L313" s="3" t="s">
        <v>25</v>
      </c>
      <c r="M313" s="4" t="s">
        <v>500</v>
      </c>
      <c r="N313" s="2">
        <v>12650.0</v>
      </c>
      <c r="O313" s="2">
        <v>13000.0</v>
      </c>
      <c r="P313" s="5">
        <v>41991.0</v>
      </c>
      <c r="Q313" s="3" t="s">
        <v>27</v>
      </c>
    </row>
    <row r="314" ht="22.5" customHeight="1">
      <c r="A314" s="2">
        <v>2013.0</v>
      </c>
      <c r="B314" s="3" t="s">
        <v>488</v>
      </c>
      <c r="C314" s="3" t="s">
        <v>489</v>
      </c>
      <c r="D314" s="4" t="s">
        <v>501</v>
      </c>
      <c r="E314" s="3" t="s">
        <v>30</v>
      </c>
      <c r="F314" s="3" t="s">
        <v>21</v>
      </c>
      <c r="G314" s="3" t="s">
        <v>502</v>
      </c>
      <c r="H314" s="4" t="s">
        <v>23</v>
      </c>
      <c r="I314" s="2">
        <v>31.0</v>
      </c>
      <c r="J314" s="2">
        <v>41173.0</v>
      </c>
      <c r="K314" s="3" t="s">
        <v>25</v>
      </c>
      <c r="L314" s="3" t="s">
        <v>25</v>
      </c>
      <c r="M314" s="4" t="s">
        <v>168</v>
      </c>
      <c r="N314" s="2">
        <v>27100.0</v>
      </c>
      <c r="O314" s="2">
        <v>27000.0</v>
      </c>
      <c r="P314" s="5">
        <v>42003.0</v>
      </c>
      <c r="Q314" s="3" t="s">
        <v>42</v>
      </c>
    </row>
    <row r="315" ht="22.5" customHeight="1">
      <c r="A315" s="2">
        <v>2013.0</v>
      </c>
      <c r="B315" s="3" t="s">
        <v>488</v>
      </c>
      <c r="C315" s="3" t="s">
        <v>489</v>
      </c>
      <c r="D315" s="4" t="s">
        <v>503</v>
      </c>
      <c r="E315" s="3" t="s">
        <v>30</v>
      </c>
      <c r="F315" s="3" t="s">
        <v>21</v>
      </c>
      <c r="G315" s="3" t="s">
        <v>504</v>
      </c>
      <c r="H315" s="4" t="s">
        <v>23</v>
      </c>
      <c r="I315" s="2">
        <v>43.0</v>
      </c>
      <c r="J315" s="2">
        <v>41997.0</v>
      </c>
      <c r="K315" s="3" t="s">
        <v>25</v>
      </c>
      <c r="L315" s="3" t="s">
        <v>25</v>
      </c>
      <c r="M315" s="4" t="s">
        <v>168</v>
      </c>
      <c r="N315" s="2">
        <v>24200.0</v>
      </c>
      <c r="O315" s="2">
        <v>25250.0</v>
      </c>
      <c r="P315" s="5">
        <v>42003.0</v>
      </c>
      <c r="Q315" s="3" t="s">
        <v>42</v>
      </c>
    </row>
    <row r="316" ht="22.5" customHeight="1">
      <c r="A316" s="2">
        <v>2013.0</v>
      </c>
      <c r="B316" s="3" t="s">
        <v>488</v>
      </c>
      <c r="C316" s="3" t="s">
        <v>489</v>
      </c>
      <c r="D316" s="4" t="s">
        <v>503</v>
      </c>
      <c r="E316" s="3" t="s">
        <v>30</v>
      </c>
      <c r="F316" s="3" t="s">
        <v>21</v>
      </c>
      <c r="G316" s="3" t="s">
        <v>505</v>
      </c>
      <c r="H316" s="4" t="s">
        <v>23</v>
      </c>
      <c r="I316" s="2">
        <v>37.0</v>
      </c>
      <c r="J316" s="2">
        <v>42482.0</v>
      </c>
      <c r="K316" s="3" t="s">
        <v>25</v>
      </c>
      <c r="L316" s="3" t="s">
        <v>25</v>
      </c>
      <c r="M316" s="4" t="s">
        <v>168</v>
      </c>
      <c r="N316" s="2">
        <v>24200.0</v>
      </c>
      <c r="O316" s="2">
        <v>25000.0</v>
      </c>
      <c r="P316" s="5">
        <v>42003.0</v>
      </c>
      <c r="Q316" s="3" t="s">
        <v>42</v>
      </c>
    </row>
    <row r="317" ht="22.5" customHeight="1">
      <c r="A317" s="2">
        <v>2015.0</v>
      </c>
      <c r="B317" s="3" t="s">
        <v>506</v>
      </c>
      <c r="C317" s="3" t="s">
        <v>507</v>
      </c>
      <c r="D317" s="4" t="s">
        <v>508</v>
      </c>
      <c r="E317" s="3" t="s">
        <v>20</v>
      </c>
      <c r="F317" s="3" t="s">
        <v>21</v>
      </c>
      <c r="G317" s="3" t="s">
        <v>509</v>
      </c>
      <c r="H317" s="4" t="s">
        <v>23</v>
      </c>
      <c r="I317" s="2">
        <v>48.0</v>
      </c>
      <c r="J317" s="2">
        <v>2034.0</v>
      </c>
      <c r="K317" s="3" t="s">
        <v>139</v>
      </c>
      <c r="L317" s="3" t="s">
        <v>230</v>
      </c>
      <c r="M317" s="4" t="s">
        <v>510</v>
      </c>
      <c r="N317" s="2">
        <v>15150.0</v>
      </c>
      <c r="O317" s="2">
        <v>17700.0</v>
      </c>
      <c r="P317" s="5">
        <v>41989.0</v>
      </c>
      <c r="Q317" s="3" t="s">
        <v>42</v>
      </c>
    </row>
    <row r="318" ht="22.5" customHeight="1">
      <c r="A318" s="2">
        <v>2015.0</v>
      </c>
      <c r="B318" s="3" t="s">
        <v>506</v>
      </c>
      <c r="C318" s="3" t="s">
        <v>511</v>
      </c>
      <c r="D318" s="4" t="s">
        <v>508</v>
      </c>
      <c r="E318" s="3" t="s">
        <v>30</v>
      </c>
      <c r="F318" s="3" t="s">
        <v>21</v>
      </c>
      <c r="G318" s="3" t="s">
        <v>512</v>
      </c>
      <c r="H318" s="4" t="s">
        <v>23</v>
      </c>
      <c r="I318" s="2">
        <v>5.0</v>
      </c>
      <c r="J318" s="2">
        <v>5214.0</v>
      </c>
      <c r="K318" s="3" t="s">
        <v>32</v>
      </c>
      <c r="L318" s="3" t="s">
        <v>25</v>
      </c>
      <c r="M318" s="4" t="s">
        <v>510</v>
      </c>
      <c r="N318" s="2">
        <v>19400.0</v>
      </c>
      <c r="O318" s="2">
        <v>19300.0</v>
      </c>
      <c r="P318" s="5">
        <v>41989.0</v>
      </c>
      <c r="Q318" s="3" t="s">
        <v>42</v>
      </c>
    </row>
    <row r="319" ht="22.5" customHeight="1">
      <c r="A319" s="2">
        <v>2013.0</v>
      </c>
      <c r="B319" s="3" t="s">
        <v>506</v>
      </c>
      <c r="C319" s="3" t="s">
        <v>507</v>
      </c>
      <c r="D319" s="4" t="s">
        <v>508</v>
      </c>
      <c r="E319" s="3" t="s">
        <v>20</v>
      </c>
      <c r="F319" s="3" t="s">
        <v>21</v>
      </c>
      <c r="G319" s="3" t="s">
        <v>513</v>
      </c>
      <c r="H319" s="4" t="s">
        <v>23</v>
      </c>
      <c r="I319" s="2">
        <v>22.0</v>
      </c>
      <c r="J319" s="2">
        <v>14061.0</v>
      </c>
      <c r="K319" s="3" t="s">
        <v>25</v>
      </c>
      <c r="L319" s="3" t="s">
        <v>24</v>
      </c>
      <c r="M319" s="4" t="s">
        <v>510</v>
      </c>
      <c r="N319" s="2">
        <v>14150.0</v>
      </c>
      <c r="O319" s="2">
        <v>11700.0</v>
      </c>
      <c r="P319" s="5">
        <v>41989.0</v>
      </c>
      <c r="Q319" s="3" t="s">
        <v>42</v>
      </c>
    </row>
    <row r="320" ht="22.5" customHeight="1">
      <c r="A320" s="2">
        <v>2013.0</v>
      </c>
      <c r="B320" s="3" t="s">
        <v>506</v>
      </c>
      <c r="C320" s="3" t="s">
        <v>514</v>
      </c>
      <c r="D320" s="4" t="s">
        <v>34</v>
      </c>
      <c r="E320" s="3" t="s">
        <v>515</v>
      </c>
      <c r="F320" s="3" t="s">
        <v>131</v>
      </c>
      <c r="G320" s="3" t="s">
        <v>516</v>
      </c>
      <c r="H320" s="4" t="s">
        <v>23</v>
      </c>
      <c r="I320" s="2">
        <v>1.0</v>
      </c>
      <c r="J320" s="2">
        <v>11699.0</v>
      </c>
      <c r="K320" s="3" t="s">
        <v>36</v>
      </c>
      <c r="L320" s="3" t="s">
        <v>25</v>
      </c>
      <c r="M320" s="4" t="s">
        <v>510</v>
      </c>
      <c r="N320" s="2">
        <v>11400.0</v>
      </c>
      <c r="O320" s="2">
        <v>6900.0</v>
      </c>
      <c r="P320" s="5">
        <v>41989.0</v>
      </c>
      <c r="Q320" s="3" t="s">
        <v>42</v>
      </c>
    </row>
    <row r="321" ht="22.5" customHeight="1">
      <c r="A321" s="2">
        <v>2013.0</v>
      </c>
      <c r="B321" s="3" t="s">
        <v>506</v>
      </c>
      <c r="C321" s="3" t="s">
        <v>507</v>
      </c>
      <c r="D321" s="4" t="s">
        <v>517</v>
      </c>
      <c r="E321" s="3" t="s">
        <v>20</v>
      </c>
      <c r="F321" s="3" t="s">
        <v>21</v>
      </c>
      <c r="G321" s="3" t="s">
        <v>518</v>
      </c>
      <c r="H321" s="4" t="s">
        <v>23</v>
      </c>
      <c r="I321" s="2">
        <v>42.0</v>
      </c>
      <c r="J321" s="2">
        <v>14012.0</v>
      </c>
      <c r="K321" s="3" t="s">
        <v>25</v>
      </c>
      <c r="L321" s="3" t="s">
        <v>25</v>
      </c>
      <c r="M321" s="4" t="s">
        <v>510</v>
      </c>
      <c r="N321" s="2">
        <v>22200.0</v>
      </c>
      <c r="O321" s="2">
        <v>22200.0</v>
      </c>
      <c r="P321" s="5">
        <v>41989.0</v>
      </c>
      <c r="Q321" s="3" t="s">
        <v>42</v>
      </c>
    </row>
    <row r="322" ht="22.5" customHeight="1">
      <c r="A322" s="2">
        <v>2013.0</v>
      </c>
      <c r="B322" s="3" t="s">
        <v>506</v>
      </c>
      <c r="C322" s="3" t="s">
        <v>519</v>
      </c>
      <c r="D322" s="4" t="s">
        <v>517</v>
      </c>
      <c r="E322" s="3" t="s">
        <v>215</v>
      </c>
      <c r="F322" s="3" t="s">
        <v>131</v>
      </c>
      <c r="G322" s="3" t="s">
        <v>520</v>
      </c>
      <c r="H322" s="4" t="s">
        <v>23</v>
      </c>
      <c r="I322" s="2">
        <v>46.0</v>
      </c>
      <c r="J322" s="2">
        <v>4668.0</v>
      </c>
      <c r="K322" s="3" t="s">
        <v>139</v>
      </c>
      <c r="L322" s="3" t="s">
        <v>25</v>
      </c>
      <c r="M322" s="4" t="s">
        <v>510</v>
      </c>
      <c r="N322" s="2">
        <v>14050.0</v>
      </c>
      <c r="O322" s="2">
        <v>14200.0</v>
      </c>
      <c r="P322" s="5">
        <v>41989.0</v>
      </c>
      <c r="Q322" s="3" t="s">
        <v>42</v>
      </c>
    </row>
    <row r="323" ht="22.5" customHeight="1">
      <c r="A323" s="2">
        <v>2013.0</v>
      </c>
      <c r="B323" s="3" t="s">
        <v>506</v>
      </c>
      <c r="C323" s="3" t="s">
        <v>514</v>
      </c>
      <c r="D323" s="4" t="s">
        <v>521</v>
      </c>
      <c r="E323" s="3" t="s">
        <v>515</v>
      </c>
      <c r="F323" s="3" t="s">
        <v>131</v>
      </c>
      <c r="G323" s="3" t="s">
        <v>522</v>
      </c>
      <c r="H323" s="4" t="s">
        <v>23</v>
      </c>
      <c r="I323" s="2">
        <v>2.0</v>
      </c>
      <c r="J323" s="2">
        <v>59886.0</v>
      </c>
      <c r="K323" s="3" t="s">
        <v>25</v>
      </c>
      <c r="L323" s="3" t="s">
        <v>25</v>
      </c>
      <c r="M323" s="4" t="s">
        <v>196</v>
      </c>
      <c r="N323" s="2">
        <v>10200.0</v>
      </c>
      <c r="O323" s="2">
        <v>7000.0</v>
      </c>
      <c r="P323" s="5">
        <v>41989.0</v>
      </c>
      <c r="Q323" s="3" t="s">
        <v>42</v>
      </c>
    </row>
    <row r="324" ht="22.5" customHeight="1">
      <c r="A324" s="2">
        <v>2013.0</v>
      </c>
      <c r="B324" s="3" t="s">
        <v>506</v>
      </c>
      <c r="C324" s="3" t="s">
        <v>519</v>
      </c>
      <c r="D324" s="4" t="s">
        <v>508</v>
      </c>
      <c r="E324" s="3" t="s">
        <v>215</v>
      </c>
      <c r="F324" s="3" t="s">
        <v>21</v>
      </c>
      <c r="G324" s="3" t="s">
        <v>523</v>
      </c>
      <c r="H324" s="4" t="s">
        <v>23</v>
      </c>
      <c r="I324" s="2">
        <v>2.0</v>
      </c>
      <c r="J324" s="2">
        <v>4850.0</v>
      </c>
      <c r="K324" s="3" t="s">
        <v>139</v>
      </c>
      <c r="L324" s="3" t="s">
        <v>25</v>
      </c>
      <c r="M324" s="4" t="s">
        <v>510</v>
      </c>
      <c r="N324" s="2">
        <v>10650.0</v>
      </c>
      <c r="O324" s="2">
        <v>6300.0</v>
      </c>
      <c r="P324" s="5">
        <v>41989.0</v>
      </c>
      <c r="Q324" s="3" t="s">
        <v>42</v>
      </c>
    </row>
    <row r="325" ht="22.5" customHeight="1">
      <c r="A325" s="2">
        <v>2013.0</v>
      </c>
      <c r="B325" s="3" t="s">
        <v>506</v>
      </c>
      <c r="C325" s="3" t="s">
        <v>507</v>
      </c>
      <c r="D325" s="4" t="s">
        <v>508</v>
      </c>
      <c r="E325" s="3" t="s">
        <v>20</v>
      </c>
      <c r="F325" s="3" t="s">
        <v>21</v>
      </c>
      <c r="G325" s="3" t="s">
        <v>524</v>
      </c>
      <c r="H325" s="4" t="s">
        <v>23</v>
      </c>
      <c r="I325" s="2">
        <v>48.0</v>
      </c>
      <c r="J325" s="2">
        <v>8177.0</v>
      </c>
      <c r="K325" s="3" t="s">
        <v>36</v>
      </c>
      <c r="L325" s="3" t="s">
        <v>24</v>
      </c>
      <c r="M325" s="4" t="s">
        <v>510</v>
      </c>
      <c r="N325" s="2">
        <v>14450.0</v>
      </c>
      <c r="O325" s="2">
        <v>15300.0</v>
      </c>
      <c r="P325" s="5">
        <v>41989.0</v>
      </c>
      <c r="Q325" s="3" t="s">
        <v>42</v>
      </c>
    </row>
    <row r="326" ht="22.5" customHeight="1">
      <c r="A326" s="2">
        <v>2013.0</v>
      </c>
      <c r="B326" s="3" t="s">
        <v>506</v>
      </c>
      <c r="C326" s="3" t="s">
        <v>507</v>
      </c>
      <c r="D326" s="4" t="s">
        <v>508</v>
      </c>
      <c r="E326" s="3" t="s">
        <v>20</v>
      </c>
      <c r="F326" s="3" t="s">
        <v>21</v>
      </c>
      <c r="G326" s="3" t="s">
        <v>525</v>
      </c>
      <c r="H326" s="4" t="s">
        <v>23</v>
      </c>
      <c r="I326" s="2">
        <v>42.0</v>
      </c>
      <c r="J326" s="2">
        <v>13929.0</v>
      </c>
      <c r="K326" s="3" t="s">
        <v>32</v>
      </c>
      <c r="L326" s="3" t="s">
        <v>181</v>
      </c>
      <c r="M326" s="4" t="s">
        <v>510</v>
      </c>
      <c r="N326" s="2">
        <v>14150.0</v>
      </c>
      <c r="O326" s="2">
        <v>14300.0</v>
      </c>
      <c r="P326" s="5">
        <v>41989.0</v>
      </c>
      <c r="Q326" s="3" t="s">
        <v>42</v>
      </c>
    </row>
    <row r="327" ht="22.5" customHeight="1">
      <c r="A327" s="2">
        <v>2013.0</v>
      </c>
      <c r="B327" s="3" t="s">
        <v>506</v>
      </c>
      <c r="C327" s="3" t="s">
        <v>507</v>
      </c>
      <c r="D327" s="4" t="s">
        <v>517</v>
      </c>
      <c r="E327" s="3" t="s">
        <v>20</v>
      </c>
      <c r="F327" s="3" t="s">
        <v>21</v>
      </c>
      <c r="G327" s="3" t="s">
        <v>526</v>
      </c>
      <c r="H327" s="4" t="s">
        <v>23</v>
      </c>
      <c r="I327" s="2">
        <v>36.0</v>
      </c>
      <c r="J327" s="2">
        <v>11238.0</v>
      </c>
      <c r="K327" s="3" t="s">
        <v>24</v>
      </c>
      <c r="L327" s="3" t="s">
        <v>25</v>
      </c>
      <c r="M327" s="4" t="s">
        <v>510</v>
      </c>
      <c r="N327" s="2">
        <v>22400.0</v>
      </c>
      <c r="O327" s="2">
        <v>23000.0</v>
      </c>
      <c r="P327" s="5">
        <v>41989.0</v>
      </c>
      <c r="Q327" s="3" t="s">
        <v>42</v>
      </c>
    </row>
    <row r="328" ht="22.5" customHeight="1">
      <c r="A328" s="2">
        <v>2013.0</v>
      </c>
      <c r="B328" s="3" t="s">
        <v>506</v>
      </c>
      <c r="C328" s="3" t="s">
        <v>527</v>
      </c>
      <c r="D328" s="4" t="s">
        <v>528</v>
      </c>
      <c r="E328" s="3" t="s">
        <v>20</v>
      </c>
      <c r="F328" s="3" t="s">
        <v>21</v>
      </c>
      <c r="G328" s="3" t="s">
        <v>529</v>
      </c>
      <c r="H328" s="4" t="s">
        <v>23</v>
      </c>
      <c r="I328" s="2">
        <v>37.0</v>
      </c>
      <c r="J328" s="2">
        <v>33980.0</v>
      </c>
      <c r="K328" s="3" t="s">
        <v>24</v>
      </c>
      <c r="L328" s="3" t="s">
        <v>24</v>
      </c>
      <c r="M328" s="4" t="s">
        <v>510</v>
      </c>
      <c r="N328" s="2">
        <v>10200.0</v>
      </c>
      <c r="O328" s="2">
        <v>10400.0</v>
      </c>
      <c r="P328" s="5">
        <v>41989.0</v>
      </c>
      <c r="Q328" s="3" t="s">
        <v>42</v>
      </c>
    </row>
    <row r="329" ht="22.5" customHeight="1">
      <c r="A329" s="2">
        <v>2015.0</v>
      </c>
      <c r="B329" s="3" t="s">
        <v>506</v>
      </c>
      <c r="C329" s="3" t="s">
        <v>511</v>
      </c>
      <c r="D329" s="4" t="s">
        <v>508</v>
      </c>
      <c r="E329" s="3" t="s">
        <v>30</v>
      </c>
      <c r="F329" s="3" t="s">
        <v>21</v>
      </c>
      <c r="G329" s="3" t="s">
        <v>530</v>
      </c>
      <c r="H329" s="4" t="s">
        <v>23</v>
      </c>
      <c r="I329" s="2">
        <v>5.0</v>
      </c>
      <c r="J329" s="2">
        <v>16639.0</v>
      </c>
      <c r="K329" s="3" t="s">
        <v>32</v>
      </c>
      <c r="L329" s="3" t="s">
        <v>25</v>
      </c>
      <c r="M329" s="4" t="s">
        <v>531</v>
      </c>
      <c r="N329" s="2">
        <v>20500.0</v>
      </c>
      <c r="O329" s="2">
        <v>21500.0</v>
      </c>
      <c r="P329" s="5">
        <v>41989.0</v>
      </c>
      <c r="Q329" s="3" t="s">
        <v>42</v>
      </c>
    </row>
    <row r="330" ht="22.5" customHeight="1">
      <c r="A330" s="2">
        <v>2015.0</v>
      </c>
      <c r="B330" s="3" t="s">
        <v>506</v>
      </c>
      <c r="C330" s="3" t="s">
        <v>511</v>
      </c>
      <c r="D330" s="4" t="s">
        <v>508</v>
      </c>
      <c r="E330" s="3" t="s">
        <v>30</v>
      </c>
      <c r="F330" s="3" t="s">
        <v>21</v>
      </c>
      <c r="G330" s="3" t="s">
        <v>532</v>
      </c>
      <c r="H330" s="4" t="s">
        <v>23</v>
      </c>
      <c r="I330" s="2">
        <v>5.0</v>
      </c>
      <c r="J330" s="2">
        <v>9393.0</v>
      </c>
      <c r="K330" s="3" t="s">
        <v>32</v>
      </c>
      <c r="L330" s="3" t="s">
        <v>181</v>
      </c>
      <c r="M330" s="4" t="s">
        <v>531</v>
      </c>
      <c r="N330" s="2">
        <v>20800.0</v>
      </c>
      <c r="O330" s="2">
        <v>21500.0</v>
      </c>
      <c r="P330" s="5">
        <v>41989.0</v>
      </c>
      <c r="Q330" s="3" t="s">
        <v>42</v>
      </c>
    </row>
    <row r="331" ht="22.5" customHeight="1">
      <c r="A331" s="2">
        <v>2015.0</v>
      </c>
      <c r="B331" s="3" t="s">
        <v>506</v>
      </c>
      <c r="C331" s="3" t="s">
        <v>511</v>
      </c>
      <c r="D331" s="4" t="s">
        <v>508</v>
      </c>
      <c r="E331" s="3" t="s">
        <v>30</v>
      </c>
      <c r="F331" s="3" t="s">
        <v>21</v>
      </c>
      <c r="G331" s="3" t="s">
        <v>533</v>
      </c>
      <c r="H331" s="4" t="s">
        <v>23</v>
      </c>
      <c r="I331" s="2">
        <v>5.0</v>
      </c>
      <c r="J331" s="2">
        <v>14634.0</v>
      </c>
      <c r="K331" s="3" t="s">
        <v>36</v>
      </c>
      <c r="L331" s="3" t="s">
        <v>25</v>
      </c>
      <c r="M331" s="4" t="s">
        <v>531</v>
      </c>
      <c r="N331" s="2">
        <v>20600.0</v>
      </c>
      <c r="O331" s="2">
        <v>21500.0</v>
      </c>
      <c r="P331" s="5">
        <v>41989.0</v>
      </c>
      <c r="Q331" s="3" t="s">
        <v>42</v>
      </c>
    </row>
    <row r="332" ht="22.5" customHeight="1">
      <c r="A332" s="2">
        <v>2015.0</v>
      </c>
      <c r="B332" s="3" t="s">
        <v>506</v>
      </c>
      <c r="C332" s="3" t="s">
        <v>511</v>
      </c>
      <c r="D332" s="4" t="s">
        <v>508</v>
      </c>
      <c r="E332" s="3" t="s">
        <v>30</v>
      </c>
      <c r="F332" s="3" t="s">
        <v>21</v>
      </c>
      <c r="G332" s="3" t="s">
        <v>534</v>
      </c>
      <c r="H332" s="4" t="s">
        <v>23</v>
      </c>
      <c r="I332" s="2">
        <v>5.0</v>
      </c>
      <c r="J332" s="2">
        <v>13757.0</v>
      </c>
      <c r="K332" s="3" t="s">
        <v>139</v>
      </c>
      <c r="L332" s="3" t="s">
        <v>25</v>
      </c>
      <c r="M332" s="4" t="s">
        <v>531</v>
      </c>
      <c r="N332" s="2">
        <v>20600.0</v>
      </c>
      <c r="O332" s="2">
        <v>20750.0</v>
      </c>
      <c r="P332" s="5">
        <v>41989.0</v>
      </c>
      <c r="Q332" s="3" t="s">
        <v>42</v>
      </c>
    </row>
    <row r="333" ht="22.5" customHeight="1">
      <c r="A333" s="2">
        <v>2015.0</v>
      </c>
      <c r="B333" s="3" t="s">
        <v>506</v>
      </c>
      <c r="C333" s="3" t="s">
        <v>511</v>
      </c>
      <c r="D333" s="4" t="s">
        <v>508</v>
      </c>
      <c r="E333" s="3" t="s">
        <v>30</v>
      </c>
      <c r="F333" s="3" t="s">
        <v>21</v>
      </c>
      <c r="G333" s="3" t="s">
        <v>535</v>
      </c>
      <c r="H333" s="4" t="s">
        <v>23</v>
      </c>
      <c r="I333" s="2">
        <v>44.0</v>
      </c>
      <c r="J333" s="2">
        <v>12862.0</v>
      </c>
      <c r="K333" s="3" t="s">
        <v>24</v>
      </c>
      <c r="L333" s="3" t="s">
        <v>25</v>
      </c>
      <c r="M333" s="4" t="s">
        <v>531</v>
      </c>
      <c r="N333" s="2">
        <v>20700.0</v>
      </c>
      <c r="O333" s="2">
        <v>21000.0</v>
      </c>
      <c r="P333" s="5">
        <v>41989.0</v>
      </c>
      <c r="Q333" s="3" t="s">
        <v>42</v>
      </c>
    </row>
    <row r="334" ht="22.5" customHeight="1">
      <c r="A334" s="2">
        <v>2015.0</v>
      </c>
      <c r="B334" s="3" t="s">
        <v>506</v>
      </c>
      <c r="C334" s="3" t="s">
        <v>511</v>
      </c>
      <c r="D334" s="4" t="s">
        <v>508</v>
      </c>
      <c r="E334" s="3" t="s">
        <v>30</v>
      </c>
      <c r="F334" s="3" t="s">
        <v>21</v>
      </c>
      <c r="G334" s="3" t="s">
        <v>536</v>
      </c>
      <c r="H334" s="4" t="s">
        <v>23</v>
      </c>
      <c r="I334" s="2">
        <v>5.0</v>
      </c>
      <c r="J334" s="2">
        <v>13878.0</v>
      </c>
      <c r="K334" s="3" t="s">
        <v>36</v>
      </c>
      <c r="L334" s="3" t="s">
        <v>25</v>
      </c>
      <c r="M334" s="4" t="s">
        <v>531</v>
      </c>
      <c r="N334" s="2">
        <v>20600.0</v>
      </c>
      <c r="O334" s="2">
        <v>20750.0</v>
      </c>
      <c r="P334" s="5">
        <v>41989.0</v>
      </c>
      <c r="Q334" s="3" t="s">
        <v>42</v>
      </c>
    </row>
    <row r="335" ht="22.5" customHeight="1">
      <c r="A335" s="2">
        <v>2015.0</v>
      </c>
      <c r="B335" s="3" t="s">
        <v>506</v>
      </c>
      <c r="C335" s="3" t="s">
        <v>511</v>
      </c>
      <c r="D335" s="4" t="s">
        <v>508</v>
      </c>
      <c r="E335" s="3" t="s">
        <v>30</v>
      </c>
      <c r="F335" s="3" t="s">
        <v>21</v>
      </c>
      <c r="G335" s="3" t="s">
        <v>537</v>
      </c>
      <c r="H335" s="4" t="s">
        <v>23</v>
      </c>
      <c r="I335" s="2">
        <v>48.0</v>
      </c>
      <c r="J335" s="2">
        <v>10357.0</v>
      </c>
      <c r="K335" s="3" t="s">
        <v>36</v>
      </c>
      <c r="L335" s="3" t="s">
        <v>24</v>
      </c>
      <c r="M335" s="4" t="s">
        <v>531</v>
      </c>
      <c r="N335" s="2">
        <v>20700.0</v>
      </c>
      <c r="O335" s="2">
        <v>20500.0</v>
      </c>
      <c r="P335" s="5">
        <v>41989.0</v>
      </c>
      <c r="Q335" s="3" t="s">
        <v>42</v>
      </c>
    </row>
    <row r="336" ht="22.5" customHeight="1">
      <c r="A336" s="2">
        <v>2015.0</v>
      </c>
      <c r="B336" s="3" t="s">
        <v>506</v>
      </c>
      <c r="C336" s="3" t="s">
        <v>511</v>
      </c>
      <c r="D336" s="4" t="s">
        <v>508</v>
      </c>
      <c r="E336" s="3" t="s">
        <v>30</v>
      </c>
      <c r="F336" s="3" t="s">
        <v>21</v>
      </c>
      <c r="G336" s="3" t="s">
        <v>538</v>
      </c>
      <c r="H336" s="4" t="s">
        <v>23</v>
      </c>
      <c r="I336" s="2">
        <v>5.0</v>
      </c>
      <c r="J336" s="2">
        <v>14176.0</v>
      </c>
      <c r="K336" s="3" t="s">
        <v>32</v>
      </c>
      <c r="L336" s="3" t="s">
        <v>25</v>
      </c>
      <c r="M336" s="4" t="s">
        <v>531</v>
      </c>
      <c r="N336" s="2">
        <v>20600.0</v>
      </c>
      <c r="O336" s="2">
        <v>21250.0</v>
      </c>
      <c r="P336" s="5">
        <v>41989.0</v>
      </c>
      <c r="Q336" s="3" t="s">
        <v>42</v>
      </c>
    </row>
    <row r="337" ht="22.5" customHeight="1">
      <c r="A337" s="2">
        <v>2015.0</v>
      </c>
      <c r="B337" s="3" t="s">
        <v>506</v>
      </c>
      <c r="C337" s="3" t="s">
        <v>511</v>
      </c>
      <c r="D337" s="4" t="s">
        <v>508</v>
      </c>
      <c r="E337" s="3" t="s">
        <v>30</v>
      </c>
      <c r="F337" s="3" t="s">
        <v>21</v>
      </c>
      <c r="G337" s="3" t="s">
        <v>539</v>
      </c>
      <c r="H337" s="4" t="s">
        <v>23</v>
      </c>
      <c r="I337" s="2">
        <v>44.0</v>
      </c>
      <c r="J337" s="2">
        <v>9161.0</v>
      </c>
      <c r="K337" s="3" t="s">
        <v>36</v>
      </c>
      <c r="L337" s="3" t="s">
        <v>25</v>
      </c>
      <c r="M337" s="4" t="s">
        <v>531</v>
      </c>
      <c r="N337" s="2">
        <v>20800.0</v>
      </c>
      <c r="O337" s="2">
        <v>22250.0</v>
      </c>
      <c r="P337" s="5">
        <v>41989.0</v>
      </c>
      <c r="Q337" s="3" t="s">
        <v>42</v>
      </c>
    </row>
    <row r="338" ht="22.5" customHeight="1">
      <c r="A338" s="2">
        <v>2015.0</v>
      </c>
      <c r="B338" s="3" t="s">
        <v>506</v>
      </c>
      <c r="C338" s="3" t="s">
        <v>511</v>
      </c>
      <c r="D338" s="4" t="s">
        <v>508</v>
      </c>
      <c r="E338" s="3" t="s">
        <v>30</v>
      </c>
      <c r="F338" s="3" t="s">
        <v>21</v>
      </c>
      <c r="G338" s="3" t="s">
        <v>540</v>
      </c>
      <c r="H338" s="4" t="s">
        <v>23</v>
      </c>
      <c r="I338" s="2">
        <v>5.0</v>
      </c>
      <c r="J338" s="2">
        <v>11001.0</v>
      </c>
      <c r="K338" s="3" t="s">
        <v>32</v>
      </c>
      <c r="L338" s="3" t="s">
        <v>25</v>
      </c>
      <c r="M338" s="4" t="s">
        <v>531</v>
      </c>
      <c r="N338" s="2">
        <v>20700.0</v>
      </c>
      <c r="O338" s="2">
        <v>22500.0</v>
      </c>
      <c r="P338" s="5">
        <v>41989.0</v>
      </c>
      <c r="Q338" s="3" t="s">
        <v>42</v>
      </c>
    </row>
    <row r="339" ht="22.5" customHeight="1">
      <c r="A339" s="2">
        <v>2015.0</v>
      </c>
      <c r="B339" s="3" t="s">
        <v>506</v>
      </c>
      <c r="C339" s="3" t="s">
        <v>511</v>
      </c>
      <c r="D339" s="4" t="s">
        <v>508</v>
      </c>
      <c r="E339" s="3" t="s">
        <v>30</v>
      </c>
      <c r="F339" s="3" t="s">
        <v>21</v>
      </c>
      <c r="G339" s="3" t="s">
        <v>541</v>
      </c>
      <c r="H339" s="4" t="s">
        <v>23</v>
      </c>
      <c r="I339" s="2">
        <v>46.0</v>
      </c>
      <c r="J339" s="2">
        <v>13452.0</v>
      </c>
      <c r="K339" s="3" t="s">
        <v>36</v>
      </c>
      <c r="L339" s="3" t="s">
        <v>25</v>
      </c>
      <c r="M339" s="4" t="s">
        <v>531</v>
      </c>
      <c r="N339" s="2">
        <v>20600.0</v>
      </c>
      <c r="O339" s="2">
        <v>21500.0</v>
      </c>
      <c r="P339" s="5">
        <v>41989.0</v>
      </c>
      <c r="Q339" s="3" t="s">
        <v>42</v>
      </c>
    </row>
    <row r="340" ht="22.5" customHeight="1">
      <c r="A340" s="2">
        <v>2015.0</v>
      </c>
      <c r="B340" s="3" t="s">
        <v>506</v>
      </c>
      <c r="C340" s="3" t="s">
        <v>511</v>
      </c>
      <c r="D340" s="4" t="s">
        <v>508</v>
      </c>
      <c r="E340" s="3" t="s">
        <v>30</v>
      </c>
      <c r="F340" s="3" t="s">
        <v>21</v>
      </c>
      <c r="G340" s="3" t="s">
        <v>542</v>
      </c>
      <c r="H340" s="4" t="s">
        <v>23</v>
      </c>
      <c r="I340" s="2">
        <v>5.0</v>
      </c>
      <c r="J340" s="2">
        <v>16348.0</v>
      </c>
      <c r="K340" s="3" t="s">
        <v>24</v>
      </c>
      <c r="L340" s="3" t="s">
        <v>24</v>
      </c>
      <c r="M340" s="4" t="s">
        <v>531</v>
      </c>
      <c r="N340" s="2">
        <v>20500.0</v>
      </c>
      <c r="O340" s="2">
        <v>20500.0</v>
      </c>
      <c r="P340" s="5">
        <v>41989.0</v>
      </c>
      <c r="Q340" s="3" t="s">
        <v>42</v>
      </c>
    </row>
    <row r="341" ht="22.5" customHeight="1">
      <c r="A341" s="2">
        <v>2015.0</v>
      </c>
      <c r="B341" s="3" t="s">
        <v>506</v>
      </c>
      <c r="C341" s="3" t="s">
        <v>511</v>
      </c>
      <c r="D341" s="4" t="s">
        <v>508</v>
      </c>
      <c r="E341" s="3" t="s">
        <v>30</v>
      </c>
      <c r="F341" s="3" t="s">
        <v>21</v>
      </c>
      <c r="G341" s="3" t="s">
        <v>543</v>
      </c>
      <c r="H341" s="4" t="s">
        <v>23</v>
      </c>
      <c r="I341" s="2">
        <v>49.0</v>
      </c>
      <c r="J341" s="2">
        <v>9552.0</v>
      </c>
      <c r="K341" s="3" t="s">
        <v>212</v>
      </c>
      <c r="L341" s="3" t="s">
        <v>181</v>
      </c>
      <c r="M341" s="4" t="s">
        <v>531</v>
      </c>
      <c r="N341" s="2">
        <v>20800.0</v>
      </c>
      <c r="O341" s="2">
        <v>21000.0</v>
      </c>
      <c r="P341" s="5">
        <v>41989.0</v>
      </c>
      <c r="Q341" s="3" t="s">
        <v>42</v>
      </c>
    </row>
    <row r="342" ht="22.5" customHeight="1">
      <c r="A342" s="2">
        <v>2015.0</v>
      </c>
      <c r="B342" s="3" t="s">
        <v>506</v>
      </c>
      <c r="C342" s="3" t="s">
        <v>511</v>
      </c>
      <c r="D342" s="4" t="s">
        <v>508</v>
      </c>
      <c r="E342" s="3" t="s">
        <v>30</v>
      </c>
      <c r="F342" s="3" t="s">
        <v>21</v>
      </c>
      <c r="G342" s="3" t="s">
        <v>544</v>
      </c>
      <c r="H342" s="4" t="s">
        <v>23</v>
      </c>
      <c r="I342" s="2">
        <v>49.0</v>
      </c>
      <c r="J342" s="2">
        <v>13711.0</v>
      </c>
      <c r="K342" s="3" t="s">
        <v>32</v>
      </c>
      <c r="L342" s="3" t="s">
        <v>25</v>
      </c>
      <c r="M342" s="4" t="s">
        <v>531</v>
      </c>
      <c r="N342" s="2">
        <v>20600.0</v>
      </c>
      <c r="O342" s="2">
        <v>21750.0</v>
      </c>
      <c r="P342" s="5">
        <v>41989.0</v>
      </c>
      <c r="Q342" s="3" t="s">
        <v>42</v>
      </c>
    </row>
    <row r="343" ht="22.5" customHeight="1">
      <c r="A343" s="2">
        <v>2015.0</v>
      </c>
      <c r="B343" s="3" t="s">
        <v>506</v>
      </c>
      <c r="C343" s="3" t="s">
        <v>511</v>
      </c>
      <c r="D343" s="4" t="s">
        <v>508</v>
      </c>
      <c r="E343" s="3" t="s">
        <v>30</v>
      </c>
      <c r="F343" s="3" t="s">
        <v>21</v>
      </c>
      <c r="G343" s="3" t="s">
        <v>545</v>
      </c>
      <c r="H343" s="4" t="s">
        <v>23</v>
      </c>
      <c r="I343" s="2">
        <v>5.0</v>
      </c>
      <c r="J343" s="2">
        <v>10615.0</v>
      </c>
      <c r="K343" s="3" t="s">
        <v>212</v>
      </c>
      <c r="L343" s="3" t="s">
        <v>25</v>
      </c>
      <c r="M343" s="4" t="s">
        <v>531</v>
      </c>
      <c r="N343" s="2">
        <v>20700.0</v>
      </c>
      <c r="O343" s="2">
        <v>20500.0</v>
      </c>
      <c r="P343" s="5">
        <v>41989.0</v>
      </c>
      <c r="Q343" s="3" t="s">
        <v>42</v>
      </c>
    </row>
    <row r="344" ht="22.5" customHeight="1">
      <c r="A344" s="2">
        <v>2015.0</v>
      </c>
      <c r="B344" s="3" t="s">
        <v>506</v>
      </c>
      <c r="C344" s="3" t="s">
        <v>511</v>
      </c>
      <c r="D344" s="4" t="s">
        <v>508</v>
      </c>
      <c r="E344" s="3" t="s">
        <v>30</v>
      </c>
      <c r="F344" s="3" t="s">
        <v>21</v>
      </c>
      <c r="G344" s="3" t="s">
        <v>546</v>
      </c>
      <c r="H344" s="4" t="s">
        <v>23</v>
      </c>
      <c r="I344" s="2">
        <v>48.0</v>
      </c>
      <c r="J344" s="2">
        <v>13031.0</v>
      </c>
      <c r="K344" s="3" t="s">
        <v>547</v>
      </c>
      <c r="L344" s="3" t="s">
        <v>25</v>
      </c>
      <c r="M344" s="4" t="s">
        <v>531</v>
      </c>
      <c r="N344" s="2">
        <v>20600.0</v>
      </c>
      <c r="O344" s="2">
        <v>20750.0</v>
      </c>
      <c r="P344" s="5">
        <v>41989.0</v>
      </c>
      <c r="Q344" s="3" t="s">
        <v>42</v>
      </c>
    </row>
    <row r="345" ht="22.5" customHeight="1">
      <c r="A345" s="2">
        <v>2015.0</v>
      </c>
      <c r="B345" s="3" t="s">
        <v>506</v>
      </c>
      <c r="C345" s="3" t="s">
        <v>511</v>
      </c>
      <c r="D345" s="4" t="s">
        <v>508</v>
      </c>
      <c r="E345" s="3" t="s">
        <v>30</v>
      </c>
      <c r="F345" s="3" t="s">
        <v>21</v>
      </c>
      <c r="G345" s="3" t="s">
        <v>548</v>
      </c>
      <c r="H345" s="4" t="s">
        <v>23</v>
      </c>
      <c r="I345" s="2">
        <v>48.0</v>
      </c>
      <c r="J345" s="2">
        <v>16611.0</v>
      </c>
      <c r="K345" s="3" t="s">
        <v>24</v>
      </c>
      <c r="L345" s="3" t="s">
        <v>25</v>
      </c>
      <c r="M345" s="4" t="s">
        <v>531</v>
      </c>
      <c r="N345" s="2">
        <v>20500.0</v>
      </c>
      <c r="O345" s="2">
        <v>20750.0</v>
      </c>
      <c r="P345" s="5">
        <v>41989.0</v>
      </c>
      <c r="Q345" s="3" t="s">
        <v>42</v>
      </c>
    </row>
    <row r="346" ht="22.5" customHeight="1">
      <c r="A346" s="2">
        <v>2013.0</v>
      </c>
      <c r="B346" s="3" t="s">
        <v>506</v>
      </c>
      <c r="C346" s="3" t="s">
        <v>507</v>
      </c>
      <c r="D346" s="4" t="s">
        <v>549</v>
      </c>
      <c r="E346" s="3" t="s">
        <v>20</v>
      </c>
      <c r="F346" s="3" t="s">
        <v>21</v>
      </c>
      <c r="G346" s="3" t="s">
        <v>550</v>
      </c>
      <c r="H346" s="4" t="s">
        <v>23</v>
      </c>
      <c r="I346" s="2">
        <v>44.0</v>
      </c>
      <c r="J346" s="2">
        <v>16045.0</v>
      </c>
      <c r="K346" s="3" t="s">
        <v>32</v>
      </c>
      <c r="L346" s="3" t="s">
        <v>181</v>
      </c>
      <c r="M346" s="4" t="s">
        <v>531</v>
      </c>
      <c r="N346" s="2">
        <v>16000.0</v>
      </c>
      <c r="O346" s="2">
        <v>16800.0</v>
      </c>
      <c r="P346" s="5">
        <v>41989.0</v>
      </c>
      <c r="Q346" s="3" t="s">
        <v>42</v>
      </c>
    </row>
    <row r="347" ht="22.5" customHeight="1">
      <c r="A347" s="2">
        <v>2013.0</v>
      </c>
      <c r="B347" s="3" t="s">
        <v>506</v>
      </c>
      <c r="C347" s="3" t="s">
        <v>507</v>
      </c>
      <c r="D347" s="4" t="s">
        <v>549</v>
      </c>
      <c r="E347" s="3" t="s">
        <v>20</v>
      </c>
      <c r="F347" s="3" t="s">
        <v>21</v>
      </c>
      <c r="G347" s="3" t="s">
        <v>551</v>
      </c>
      <c r="H347" s="4" t="s">
        <v>23</v>
      </c>
      <c r="I347" s="2">
        <v>46.0</v>
      </c>
      <c r="J347" s="2">
        <v>11757.0</v>
      </c>
      <c r="K347" s="3" t="s">
        <v>25</v>
      </c>
      <c r="L347" s="3" t="s">
        <v>25</v>
      </c>
      <c r="M347" s="4" t="s">
        <v>531</v>
      </c>
      <c r="N347" s="2">
        <v>16050.0</v>
      </c>
      <c r="O347" s="2">
        <v>16500.0</v>
      </c>
      <c r="P347" s="5">
        <v>41989.0</v>
      </c>
      <c r="Q347" s="3" t="s">
        <v>42</v>
      </c>
    </row>
    <row r="348" ht="22.5" customHeight="1">
      <c r="A348" s="2">
        <v>2013.0</v>
      </c>
      <c r="B348" s="3" t="s">
        <v>506</v>
      </c>
      <c r="C348" s="3" t="s">
        <v>507</v>
      </c>
      <c r="D348" s="4" t="s">
        <v>549</v>
      </c>
      <c r="E348" s="3" t="s">
        <v>20</v>
      </c>
      <c r="F348" s="3" t="s">
        <v>21</v>
      </c>
      <c r="G348" s="3" t="s">
        <v>552</v>
      </c>
      <c r="H348" s="4" t="s">
        <v>23</v>
      </c>
      <c r="I348" s="2">
        <v>42.0</v>
      </c>
      <c r="J348" s="2">
        <v>19543.0</v>
      </c>
      <c r="K348" s="3" t="s">
        <v>25</v>
      </c>
      <c r="L348" s="3" t="s">
        <v>24</v>
      </c>
      <c r="M348" s="4" t="s">
        <v>531</v>
      </c>
      <c r="N348" s="2">
        <v>15900.0</v>
      </c>
      <c r="O348" s="2">
        <v>16100.0</v>
      </c>
      <c r="P348" s="5">
        <v>41989.0</v>
      </c>
      <c r="Q348" s="3" t="s">
        <v>42</v>
      </c>
    </row>
    <row r="349" ht="22.5" customHeight="1">
      <c r="A349" s="2">
        <v>2013.0</v>
      </c>
      <c r="B349" s="3" t="s">
        <v>506</v>
      </c>
      <c r="C349" s="3" t="s">
        <v>511</v>
      </c>
      <c r="D349" s="4" t="s">
        <v>508</v>
      </c>
      <c r="E349" s="3" t="s">
        <v>30</v>
      </c>
      <c r="F349" s="3" t="s">
        <v>21</v>
      </c>
      <c r="G349" s="3" t="s">
        <v>553</v>
      </c>
      <c r="H349" s="4" t="s">
        <v>23</v>
      </c>
      <c r="I349" s="2">
        <v>44.0</v>
      </c>
      <c r="J349" s="2">
        <v>48050.0</v>
      </c>
      <c r="K349" s="3" t="s">
        <v>36</v>
      </c>
      <c r="L349" s="3" t="s">
        <v>24</v>
      </c>
      <c r="M349" s="4" t="s">
        <v>554</v>
      </c>
      <c r="N349" s="2">
        <v>15700.0</v>
      </c>
      <c r="O349" s="2">
        <v>12750.0</v>
      </c>
      <c r="P349" s="5">
        <v>41989.0</v>
      </c>
      <c r="Q349" s="3" t="s">
        <v>42</v>
      </c>
    </row>
    <row r="350" ht="22.5" customHeight="1">
      <c r="A350" s="2">
        <v>2013.0</v>
      </c>
      <c r="B350" s="3" t="s">
        <v>506</v>
      </c>
      <c r="C350" s="3" t="s">
        <v>507</v>
      </c>
      <c r="D350" s="4" t="s">
        <v>549</v>
      </c>
      <c r="E350" s="3" t="s">
        <v>20</v>
      </c>
      <c r="F350" s="3" t="s">
        <v>21</v>
      </c>
      <c r="G350" s="3" t="s">
        <v>555</v>
      </c>
      <c r="H350" s="4" t="s">
        <v>23</v>
      </c>
      <c r="I350" s="2">
        <v>49.0</v>
      </c>
      <c r="J350" s="2">
        <v>19078.0</v>
      </c>
      <c r="K350" s="3" t="s">
        <v>32</v>
      </c>
      <c r="L350" s="3" t="s">
        <v>24</v>
      </c>
      <c r="M350" s="4" t="s">
        <v>531</v>
      </c>
      <c r="N350" s="2">
        <v>15950.0</v>
      </c>
      <c r="O350" s="2">
        <v>16500.0</v>
      </c>
      <c r="P350" s="5">
        <v>41989.0</v>
      </c>
      <c r="Q350" s="3" t="s">
        <v>42</v>
      </c>
    </row>
    <row r="351" ht="22.5" customHeight="1">
      <c r="A351" s="2">
        <v>2013.0</v>
      </c>
      <c r="B351" s="3" t="s">
        <v>506</v>
      </c>
      <c r="C351" s="3" t="s">
        <v>519</v>
      </c>
      <c r="D351" s="4" t="s">
        <v>508</v>
      </c>
      <c r="E351" s="3" t="s">
        <v>20</v>
      </c>
      <c r="F351" s="3" t="s">
        <v>131</v>
      </c>
      <c r="G351" s="3" t="s">
        <v>556</v>
      </c>
      <c r="H351" s="4" t="s">
        <v>23</v>
      </c>
      <c r="I351" s="2">
        <v>19.0</v>
      </c>
      <c r="J351" s="2">
        <v>22658.0</v>
      </c>
      <c r="K351" s="3" t="s">
        <v>32</v>
      </c>
      <c r="L351" s="3" t="s">
        <v>181</v>
      </c>
      <c r="M351" s="4" t="s">
        <v>133</v>
      </c>
      <c r="N351" s="2">
        <v>9225.0</v>
      </c>
      <c r="O351" s="2">
        <v>5500.0</v>
      </c>
      <c r="P351" s="5">
        <v>41989.0</v>
      </c>
      <c r="Q351" s="3" t="s">
        <v>42</v>
      </c>
    </row>
    <row r="352" ht="22.5" customHeight="1">
      <c r="A352" s="2">
        <v>2013.0</v>
      </c>
      <c r="B352" s="3" t="s">
        <v>506</v>
      </c>
      <c r="C352" s="3" t="s">
        <v>507</v>
      </c>
      <c r="D352" s="4" t="s">
        <v>549</v>
      </c>
      <c r="E352" s="3" t="s">
        <v>20</v>
      </c>
      <c r="F352" s="3" t="s">
        <v>21</v>
      </c>
      <c r="G352" s="3" t="s">
        <v>557</v>
      </c>
      <c r="H352" s="4" t="s">
        <v>23</v>
      </c>
      <c r="I352" s="2">
        <v>44.0</v>
      </c>
      <c r="J352" s="2">
        <v>18554.0</v>
      </c>
      <c r="K352" s="3" t="s">
        <v>24</v>
      </c>
      <c r="L352" s="3" t="s">
        <v>25</v>
      </c>
      <c r="M352" s="4" t="s">
        <v>531</v>
      </c>
      <c r="N352" s="2">
        <v>15950.0</v>
      </c>
      <c r="O352" s="2">
        <v>15700.0</v>
      </c>
      <c r="P352" s="5">
        <v>41989.0</v>
      </c>
      <c r="Q352" s="3" t="s">
        <v>42</v>
      </c>
    </row>
    <row r="353" ht="22.5" customHeight="1">
      <c r="A353" s="2">
        <v>2013.0</v>
      </c>
      <c r="B353" s="3" t="s">
        <v>506</v>
      </c>
      <c r="C353" s="3" t="s">
        <v>507</v>
      </c>
      <c r="D353" s="4" t="s">
        <v>549</v>
      </c>
      <c r="E353" s="3" t="s">
        <v>20</v>
      </c>
      <c r="F353" s="3" t="s">
        <v>21</v>
      </c>
      <c r="G353" s="3" t="s">
        <v>558</v>
      </c>
      <c r="H353" s="4" t="s">
        <v>23</v>
      </c>
      <c r="I353" s="2">
        <v>41.0</v>
      </c>
      <c r="J353" s="2">
        <v>21258.0</v>
      </c>
      <c r="K353" s="3" t="s">
        <v>32</v>
      </c>
      <c r="L353" s="3" t="s">
        <v>181</v>
      </c>
      <c r="M353" s="4" t="s">
        <v>531</v>
      </c>
      <c r="N353" s="2">
        <v>15900.0</v>
      </c>
      <c r="O353" s="2">
        <v>16400.0</v>
      </c>
      <c r="P353" s="5">
        <v>41989.0</v>
      </c>
      <c r="Q353" s="3" t="s">
        <v>42</v>
      </c>
    </row>
    <row r="354" ht="22.5" customHeight="1">
      <c r="A354" s="2">
        <v>2013.0</v>
      </c>
      <c r="B354" s="3" t="s">
        <v>506</v>
      </c>
      <c r="C354" s="3" t="s">
        <v>507</v>
      </c>
      <c r="D354" s="4" t="s">
        <v>549</v>
      </c>
      <c r="E354" s="3" t="s">
        <v>20</v>
      </c>
      <c r="F354" s="3" t="s">
        <v>21</v>
      </c>
      <c r="G354" s="3" t="s">
        <v>559</v>
      </c>
      <c r="H354" s="4" t="s">
        <v>23</v>
      </c>
      <c r="I354" s="2">
        <v>44.0</v>
      </c>
      <c r="J354" s="2">
        <v>20984.0</v>
      </c>
      <c r="K354" s="3" t="s">
        <v>32</v>
      </c>
      <c r="L354" s="3" t="s">
        <v>25</v>
      </c>
      <c r="M354" s="4" t="s">
        <v>531</v>
      </c>
      <c r="N354" s="2">
        <v>15900.0</v>
      </c>
      <c r="O354" s="2">
        <v>16500.0</v>
      </c>
      <c r="P354" s="5">
        <v>41989.0</v>
      </c>
      <c r="Q354" s="3" t="s">
        <v>42</v>
      </c>
    </row>
    <row r="355" ht="22.5" customHeight="1">
      <c r="A355" s="2">
        <v>2013.0</v>
      </c>
      <c r="B355" s="3" t="s">
        <v>506</v>
      </c>
      <c r="C355" s="3" t="s">
        <v>507</v>
      </c>
      <c r="D355" s="4" t="s">
        <v>549</v>
      </c>
      <c r="E355" s="3" t="s">
        <v>20</v>
      </c>
      <c r="F355" s="3" t="s">
        <v>21</v>
      </c>
      <c r="G355" s="3" t="s">
        <v>560</v>
      </c>
      <c r="H355" s="4" t="s">
        <v>23</v>
      </c>
      <c r="I355" s="2">
        <v>43.0</v>
      </c>
      <c r="J355" s="2">
        <v>21642.0</v>
      </c>
      <c r="K355" s="3" t="s">
        <v>32</v>
      </c>
      <c r="L355" s="3" t="s">
        <v>25</v>
      </c>
      <c r="M355" s="4" t="s">
        <v>531</v>
      </c>
      <c r="N355" s="2">
        <v>15900.0</v>
      </c>
      <c r="O355" s="2">
        <v>16600.0</v>
      </c>
      <c r="P355" s="5">
        <v>41989.0</v>
      </c>
      <c r="Q355" s="3" t="s">
        <v>42</v>
      </c>
    </row>
    <row r="356" ht="22.5" customHeight="1">
      <c r="A356" s="2">
        <v>2013.0</v>
      </c>
      <c r="B356" s="3" t="s">
        <v>506</v>
      </c>
      <c r="C356" s="3" t="s">
        <v>561</v>
      </c>
      <c r="D356" s="4" t="s">
        <v>508</v>
      </c>
      <c r="E356" s="3" t="s">
        <v>30</v>
      </c>
      <c r="F356" s="3" t="s">
        <v>21</v>
      </c>
      <c r="G356" s="3" t="s">
        <v>562</v>
      </c>
      <c r="H356" s="4" t="s">
        <v>23</v>
      </c>
      <c r="I356" s="2">
        <v>46.0</v>
      </c>
      <c r="J356" s="2">
        <v>32685.0</v>
      </c>
      <c r="K356" s="3" t="s">
        <v>167</v>
      </c>
      <c r="L356" s="3" t="s">
        <v>25</v>
      </c>
      <c r="M356" s="4" t="s">
        <v>531</v>
      </c>
      <c r="N356" s="2">
        <v>14000.0</v>
      </c>
      <c r="O356" s="2">
        <v>15250.0</v>
      </c>
      <c r="P356" s="5">
        <v>41989.0</v>
      </c>
      <c r="Q356" s="3" t="s">
        <v>42</v>
      </c>
    </row>
    <row r="357" ht="22.5" customHeight="1">
      <c r="A357" s="2">
        <v>2013.0</v>
      </c>
      <c r="B357" s="3" t="s">
        <v>506</v>
      </c>
      <c r="C357" s="3" t="s">
        <v>511</v>
      </c>
      <c r="D357" s="4" t="s">
        <v>528</v>
      </c>
      <c r="E357" s="3" t="s">
        <v>30</v>
      </c>
      <c r="F357" s="3" t="s">
        <v>21</v>
      </c>
      <c r="G357" s="3" t="s">
        <v>563</v>
      </c>
      <c r="H357" s="4" t="s">
        <v>23</v>
      </c>
      <c r="I357" s="2">
        <v>33.0</v>
      </c>
      <c r="J357" s="2">
        <v>71662.0</v>
      </c>
      <c r="K357" s="3" t="s">
        <v>25</v>
      </c>
      <c r="L357" s="3" t="s">
        <v>181</v>
      </c>
      <c r="M357" s="4" t="s">
        <v>564</v>
      </c>
      <c r="N357" s="2">
        <v>14050.0</v>
      </c>
      <c r="O357" s="2">
        <v>14000.0</v>
      </c>
      <c r="P357" s="5">
        <v>41989.0</v>
      </c>
      <c r="Q357" s="3" t="s">
        <v>42</v>
      </c>
    </row>
    <row r="358" ht="22.5" customHeight="1">
      <c r="A358" s="2">
        <v>2013.0</v>
      </c>
      <c r="B358" s="3" t="s">
        <v>506</v>
      </c>
      <c r="C358" s="3" t="s">
        <v>511</v>
      </c>
      <c r="D358" s="4" t="s">
        <v>508</v>
      </c>
      <c r="E358" s="3" t="s">
        <v>30</v>
      </c>
      <c r="F358" s="3" t="s">
        <v>21</v>
      </c>
      <c r="G358" s="3" t="s">
        <v>565</v>
      </c>
      <c r="H358" s="4" t="s">
        <v>23</v>
      </c>
      <c r="I358" s="2">
        <v>43.0</v>
      </c>
      <c r="J358" s="2">
        <v>28790.0</v>
      </c>
      <c r="K358" s="3" t="s">
        <v>167</v>
      </c>
      <c r="L358" s="3" t="s">
        <v>25</v>
      </c>
      <c r="M358" s="4" t="s">
        <v>554</v>
      </c>
      <c r="N358" s="2">
        <v>16800.0</v>
      </c>
      <c r="O358" s="2">
        <v>13500.0</v>
      </c>
      <c r="P358" s="5">
        <v>41989.0</v>
      </c>
      <c r="Q358" s="3" t="s">
        <v>42</v>
      </c>
    </row>
    <row r="359" ht="22.5" customHeight="1">
      <c r="A359" s="2">
        <v>2013.0</v>
      </c>
      <c r="B359" s="3" t="s">
        <v>506</v>
      </c>
      <c r="C359" s="3" t="s">
        <v>507</v>
      </c>
      <c r="D359" s="4" t="s">
        <v>528</v>
      </c>
      <c r="E359" s="3" t="s">
        <v>20</v>
      </c>
      <c r="F359" s="3" t="s">
        <v>21</v>
      </c>
      <c r="G359" s="3" t="s">
        <v>566</v>
      </c>
      <c r="H359" s="4" t="s">
        <v>23</v>
      </c>
      <c r="I359" s="2">
        <v>2.0</v>
      </c>
      <c r="J359" s="2">
        <v>24614.0</v>
      </c>
      <c r="K359" s="3" t="s">
        <v>212</v>
      </c>
      <c r="L359" s="3" t="s">
        <v>181</v>
      </c>
      <c r="M359" s="4" t="s">
        <v>510</v>
      </c>
      <c r="N359" s="2">
        <v>16200.0</v>
      </c>
      <c r="O359" s="2">
        <v>10600.0</v>
      </c>
      <c r="P359" s="5">
        <v>41989.0</v>
      </c>
      <c r="Q359" s="3" t="s">
        <v>42</v>
      </c>
    </row>
    <row r="360" ht="22.5" customHeight="1">
      <c r="A360" s="2">
        <v>2013.0</v>
      </c>
      <c r="B360" s="3" t="s">
        <v>506</v>
      </c>
      <c r="C360" s="3" t="s">
        <v>514</v>
      </c>
      <c r="D360" s="4" t="s">
        <v>521</v>
      </c>
      <c r="E360" s="3" t="s">
        <v>515</v>
      </c>
      <c r="F360" s="3" t="s">
        <v>21</v>
      </c>
      <c r="G360" s="3" t="s">
        <v>567</v>
      </c>
      <c r="H360" s="4" t="s">
        <v>23</v>
      </c>
      <c r="I360" s="2">
        <v>3.0</v>
      </c>
      <c r="J360" s="2">
        <v>39476.0</v>
      </c>
      <c r="K360" s="3" t="s">
        <v>25</v>
      </c>
      <c r="L360" s="3" t="s">
        <v>25</v>
      </c>
      <c r="M360" s="4" t="s">
        <v>568</v>
      </c>
      <c r="N360" s="2">
        <v>11400.0</v>
      </c>
      <c r="O360" s="2">
        <v>6000.0</v>
      </c>
      <c r="P360" s="5">
        <v>41989.0</v>
      </c>
      <c r="Q360" s="3" t="s">
        <v>42</v>
      </c>
    </row>
    <row r="361" ht="22.5" customHeight="1">
      <c r="A361" s="2">
        <v>2013.0</v>
      </c>
      <c r="B361" s="3" t="s">
        <v>506</v>
      </c>
      <c r="C361" s="3" t="s">
        <v>507</v>
      </c>
      <c r="D361" s="4" t="s">
        <v>517</v>
      </c>
      <c r="E361" s="3" t="s">
        <v>20</v>
      </c>
      <c r="F361" s="3" t="s">
        <v>21</v>
      </c>
      <c r="G361" s="3" t="s">
        <v>569</v>
      </c>
      <c r="H361" s="4" t="s">
        <v>23</v>
      </c>
      <c r="I361" s="2">
        <v>44.0</v>
      </c>
      <c r="J361" s="2">
        <v>24131.0</v>
      </c>
      <c r="K361" s="3" t="s">
        <v>25</v>
      </c>
      <c r="L361" s="3" t="s">
        <v>25</v>
      </c>
      <c r="M361" s="4" t="s">
        <v>570</v>
      </c>
      <c r="N361" s="2">
        <v>21200.0</v>
      </c>
      <c r="O361" s="2">
        <v>21250.0</v>
      </c>
      <c r="P361" s="5">
        <v>41990.0</v>
      </c>
      <c r="Q361" s="3" t="s">
        <v>84</v>
      </c>
    </row>
    <row r="362" ht="22.5" customHeight="1">
      <c r="A362" s="2">
        <v>2013.0</v>
      </c>
      <c r="B362" s="3" t="s">
        <v>506</v>
      </c>
      <c r="C362" s="3" t="s">
        <v>511</v>
      </c>
      <c r="D362" s="4" t="s">
        <v>517</v>
      </c>
      <c r="E362" s="3" t="s">
        <v>30</v>
      </c>
      <c r="F362" s="3" t="s">
        <v>21</v>
      </c>
      <c r="G362" s="3" t="s">
        <v>571</v>
      </c>
      <c r="H362" s="4" t="s">
        <v>23</v>
      </c>
      <c r="I362" s="2">
        <v>47.0</v>
      </c>
      <c r="J362" s="2">
        <v>20209.0</v>
      </c>
      <c r="K362" s="3" t="s">
        <v>212</v>
      </c>
      <c r="L362" s="3" t="s">
        <v>25</v>
      </c>
      <c r="M362" s="4" t="s">
        <v>570</v>
      </c>
      <c r="N362" s="2">
        <v>21700.0</v>
      </c>
      <c r="O362" s="2">
        <v>21500.0</v>
      </c>
      <c r="P362" s="5">
        <v>41990.0</v>
      </c>
      <c r="Q362" s="3" t="s">
        <v>84</v>
      </c>
    </row>
    <row r="363" ht="22.5" customHeight="1">
      <c r="A363" s="2">
        <v>2013.0</v>
      </c>
      <c r="B363" s="3" t="s">
        <v>506</v>
      </c>
      <c r="C363" s="3" t="s">
        <v>519</v>
      </c>
      <c r="D363" s="4" t="s">
        <v>508</v>
      </c>
      <c r="E363" s="3" t="s">
        <v>20</v>
      </c>
      <c r="F363" s="3" t="s">
        <v>21</v>
      </c>
      <c r="G363" s="3" t="s">
        <v>572</v>
      </c>
      <c r="H363" s="4" t="s">
        <v>23</v>
      </c>
      <c r="I363" s="2">
        <v>28.0</v>
      </c>
      <c r="J363" s="2">
        <v>31406.0</v>
      </c>
      <c r="K363" s="3" t="s">
        <v>36</v>
      </c>
      <c r="L363" s="3" t="s">
        <v>25</v>
      </c>
      <c r="M363" s="4" t="s">
        <v>573</v>
      </c>
      <c r="N363" s="2">
        <v>9775.0</v>
      </c>
      <c r="O363" s="2">
        <v>8900.0</v>
      </c>
      <c r="P363" s="5">
        <v>41990.0</v>
      </c>
      <c r="Q363" s="3" t="s">
        <v>84</v>
      </c>
    </row>
    <row r="364" ht="22.5" customHeight="1">
      <c r="A364" s="2">
        <v>2013.0</v>
      </c>
      <c r="B364" s="3" t="s">
        <v>506</v>
      </c>
      <c r="C364" s="3" t="s">
        <v>561</v>
      </c>
      <c r="D364" s="4" t="s">
        <v>508</v>
      </c>
      <c r="E364" s="3" t="s">
        <v>30</v>
      </c>
      <c r="F364" s="3" t="s">
        <v>21</v>
      </c>
      <c r="G364" s="3" t="s">
        <v>574</v>
      </c>
      <c r="H364" s="4" t="s">
        <v>23</v>
      </c>
      <c r="I364" s="2">
        <v>25.0</v>
      </c>
      <c r="J364" s="2">
        <v>40331.0</v>
      </c>
      <c r="K364" s="3" t="s">
        <v>24</v>
      </c>
      <c r="L364" s="3" t="s">
        <v>24</v>
      </c>
      <c r="M364" s="4" t="s">
        <v>143</v>
      </c>
      <c r="N364" s="2">
        <v>15050.0</v>
      </c>
      <c r="O364" s="2">
        <v>15200.0</v>
      </c>
      <c r="P364" s="5">
        <v>41990.0</v>
      </c>
      <c r="Q364" s="3" t="s">
        <v>84</v>
      </c>
    </row>
    <row r="365" ht="22.5" customHeight="1">
      <c r="A365" s="2">
        <v>2013.0</v>
      </c>
      <c r="B365" s="3" t="s">
        <v>506</v>
      </c>
      <c r="C365" s="3" t="s">
        <v>507</v>
      </c>
      <c r="D365" s="4" t="s">
        <v>508</v>
      </c>
      <c r="E365" s="3" t="s">
        <v>20</v>
      </c>
      <c r="F365" s="3" t="s">
        <v>21</v>
      </c>
      <c r="G365" s="3" t="s">
        <v>575</v>
      </c>
      <c r="H365" s="4" t="s">
        <v>23</v>
      </c>
      <c r="I365" s="2">
        <v>33.0</v>
      </c>
      <c r="J365" s="2">
        <v>26360.0</v>
      </c>
      <c r="K365" s="3" t="s">
        <v>173</v>
      </c>
      <c r="L365" s="3" t="s">
        <v>181</v>
      </c>
      <c r="M365" s="4" t="s">
        <v>303</v>
      </c>
      <c r="N365" s="2">
        <v>13450.0</v>
      </c>
      <c r="O365" s="2">
        <v>13300.0</v>
      </c>
      <c r="P365" s="5">
        <v>41990.0</v>
      </c>
      <c r="Q365" s="3" t="s">
        <v>84</v>
      </c>
    </row>
    <row r="366" ht="22.5" customHeight="1">
      <c r="A366" s="2">
        <v>2013.0</v>
      </c>
      <c r="B366" s="3" t="s">
        <v>506</v>
      </c>
      <c r="C366" s="3" t="s">
        <v>507</v>
      </c>
      <c r="D366" s="4" t="s">
        <v>508</v>
      </c>
      <c r="E366" s="3" t="s">
        <v>20</v>
      </c>
      <c r="F366" s="3" t="s">
        <v>21</v>
      </c>
      <c r="G366" s="3" t="s">
        <v>576</v>
      </c>
      <c r="H366" s="4" t="s">
        <v>23</v>
      </c>
      <c r="I366" s="2">
        <v>37.0</v>
      </c>
      <c r="J366" s="2">
        <v>35707.0</v>
      </c>
      <c r="K366" s="3" t="s">
        <v>36</v>
      </c>
      <c r="L366" s="3" t="s">
        <v>24</v>
      </c>
      <c r="M366" s="4" t="s">
        <v>312</v>
      </c>
      <c r="N366" s="2">
        <v>12900.0</v>
      </c>
      <c r="O366" s="2">
        <v>13300.0</v>
      </c>
      <c r="P366" s="5">
        <v>41990.0</v>
      </c>
      <c r="Q366" s="3" t="s">
        <v>84</v>
      </c>
    </row>
    <row r="367" ht="22.5" customHeight="1">
      <c r="A367" s="2">
        <v>2013.0</v>
      </c>
      <c r="B367" s="3" t="s">
        <v>506</v>
      </c>
      <c r="C367" s="3" t="s">
        <v>519</v>
      </c>
      <c r="D367" s="4" t="s">
        <v>508</v>
      </c>
      <c r="E367" s="3" t="s">
        <v>20</v>
      </c>
      <c r="F367" s="3" t="s">
        <v>21</v>
      </c>
      <c r="G367" s="3" t="s">
        <v>577</v>
      </c>
      <c r="H367" s="4" t="s">
        <v>23</v>
      </c>
      <c r="I367" s="2">
        <v>3.0</v>
      </c>
      <c r="J367" s="2">
        <v>37213.0</v>
      </c>
      <c r="K367" s="3" t="s">
        <v>139</v>
      </c>
      <c r="L367" s="3" t="s">
        <v>24</v>
      </c>
      <c r="M367" s="4" t="s">
        <v>312</v>
      </c>
      <c r="N367" s="2">
        <v>8725.0</v>
      </c>
      <c r="O367" s="2">
        <v>9500.0</v>
      </c>
      <c r="P367" s="5">
        <v>41990.0</v>
      </c>
      <c r="Q367" s="3" t="s">
        <v>84</v>
      </c>
    </row>
    <row r="368" ht="22.5" customHeight="1">
      <c r="A368" s="2">
        <v>2013.0</v>
      </c>
      <c r="B368" s="3" t="s">
        <v>506</v>
      </c>
      <c r="C368" s="3" t="s">
        <v>527</v>
      </c>
      <c r="D368" s="4" t="s">
        <v>508</v>
      </c>
      <c r="E368" s="3" t="s">
        <v>20</v>
      </c>
      <c r="F368" s="3" t="s">
        <v>21</v>
      </c>
      <c r="G368" s="3" t="s">
        <v>578</v>
      </c>
      <c r="H368" s="4" t="s">
        <v>23</v>
      </c>
      <c r="I368" s="2">
        <v>43.0</v>
      </c>
      <c r="J368" s="2">
        <v>54978.0</v>
      </c>
      <c r="K368" s="3" t="s">
        <v>25</v>
      </c>
      <c r="L368" s="3" t="s">
        <v>24</v>
      </c>
      <c r="M368" s="4" t="s">
        <v>500</v>
      </c>
      <c r="N368" s="2">
        <v>7050.0</v>
      </c>
      <c r="O368" s="2">
        <v>9200.0</v>
      </c>
      <c r="P368" s="5">
        <v>41991.0</v>
      </c>
      <c r="Q368" s="3" t="s">
        <v>27</v>
      </c>
    </row>
    <row r="369" ht="22.5" customHeight="1">
      <c r="A369" s="2">
        <v>2013.0</v>
      </c>
      <c r="B369" s="3" t="s">
        <v>506</v>
      </c>
      <c r="C369" s="3" t="s">
        <v>519</v>
      </c>
      <c r="D369" s="4" t="s">
        <v>508</v>
      </c>
      <c r="E369" s="3" t="s">
        <v>20</v>
      </c>
      <c r="F369" s="3" t="s">
        <v>21</v>
      </c>
      <c r="G369" s="3" t="s">
        <v>579</v>
      </c>
      <c r="H369" s="4" t="s">
        <v>23</v>
      </c>
      <c r="I369" s="2">
        <v>26.0</v>
      </c>
      <c r="J369" s="2">
        <v>13508.0</v>
      </c>
      <c r="K369" s="3" t="s">
        <v>32</v>
      </c>
      <c r="L369" s="3" t="s">
        <v>25</v>
      </c>
      <c r="M369" s="4" t="s">
        <v>500</v>
      </c>
      <c r="N369" s="2">
        <v>9475.0</v>
      </c>
      <c r="O369" s="2">
        <v>7500.0</v>
      </c>
      <c r="P369" s="5">
        <v>41991.0</v>
      </c>
      <c r="Q369" s="3" t="s">
        <v>27</v>
      </c>
    </row>
    <row r="370" ht="22.5" customHeight="1">
      <c r="A370" s="2">
        <v>2013.0</v>
      </c>
      <c r="B370" s="3" t="s">
        <v>506</v>
      </c>
      <c r="C370" s="3" t="s">
        <v>519</v>
      </c>
      <c r="D370" s="4" t="s">
        <v>528</v>
      </c>
      <c r="E370" s="3" t="s">
        <v>215</v>
      </c>
      <c r="F370" s="3" t="s">
        <v>21</v>
      </c>
      <c r="G370" s="3" t="s">
        <v>580</v>
      </c>
      <c r="H370" s="4" t="s">
        <v>23</v>
      </c>
      <c r="I370" s="2">
        <v>41.0</v>
      </c>
      <c r="J370" s="2">
        <v>11342.0</v>
      </c>
      <c r="K370" s="3" t="s">
        <v>25</v>
      </c>
      <c r="L370" s="3" t="s">
        <v>25</v>
      </c>
      <c r="M370" s="4" t="s">
        <v>317</v>
      </c>
      <c r="N370" s="2">
        <v>10500.0</v>
      </c>
      <c r="O370" s="2">
        <v>12000.0</v>
      </c>
      <c r="P370" s="5">
        <v>41991.0</v>
      </c>
      <c r="Q370" s="3" t="s">
        <v>27</v>
      </c>
    </row>
    <row r="371" ht="22.5" customHeight="1">
      <c r="A371" s="2">
        <v>2013.0</v>
      </c>
      <c r="B371" s="3" t="s">
        <v>506</v>
      </c>
      <c r="C371" s="3" t="s">
        <v>507</v>
      </c>
      <c r="D371" s="4" t="s">
        <v>517</v>
      </c>
      <c r="E371" s="3" t="s">
        <v>20</v>
      </c>
      <c r="F371" s="3" t="s">
        <v>21</v>
      </c>
      <c r="G371" s="3" t="s">
        <v>581</v>
      </c>
      <c r="H371" s="4" t="s">
        <v>23</v>
      </c>
      <c r="I371" s="2">
        <v>44.0</v>
      </c>
      <c r="J371" s="2">
        <v>67229.0</v>
      </c>
      <c r="K371" s="3" t="s">
        <v>32</v>
      </c>
      <c r="L371" s="3" t="s">
        <v>24</v>
      </c>
      <c r="M371" s="4" t="s">
        <v>510</v>
      </c>
      <c r="N371" s="2">
        <v>18300.0</v>
      </c>
      <c r="O371" s="2">
        <v>19000.0</v>
      </c>
      <c r="P371" s="5">
        <v>41991.0</v>
      </c>
      <c r="Q371" s="3" t="s">
        <v>27</v>
      </c>
    </row>
    <row r="372" ht="22.5" customHeight="1">
      <c r="A372" s="2">
        <v>2013.0</v>
      </c>
      <c r="B372" s="3" t="s">
        <v>506</v>
      </c>
      <c r="C372" s="3" t="s">
        <v>527</v>
      </c>
      <c r="D372" s="4" t="s">
        <v>528</v>
      </c>
      <c r="E372" s="3" t="s">
        <v>20</v>
      </c>
      <c r="F372" s="3" t="s">
        <v>21</v>
      </c>
      <c r="G372" s="3" t="s">
        <v>582</v>
      </c>
      <c r="H372" s="4" t="s">
        <v>23</v>
      </c>
      <c r="I372" s="2">
        <v>27.0</v>
      </c>
      <c r="J372" s="2">
        <v>55885.0</v>
      </c>
      <c r="K372" s="3" t="s">
        <v>24</v>
      </c>
      <c r="L372" s="3" t="s">
        <v>25</v>
      </c>
      <c r="M372" s="4" t="s">
        <v>583</v>
      </c>
      <c r="N372" s="2">
        <v>9175.0</v>
      </c>
      <c r="O372" s="2">
        <v>8800.0</v>
      </c>
      <c r="P372" s="5">
        <v>41996.0</v>
      </c>
      <c r="Q372" s="3" t="s">
        <v>42</v>
      </c>
    </row>
    <row r="373" ht="22.5" customHeight="1">
      <c r="A373" s="2">
        <v>2013.0</v>
      </c>
      <c r="B373" s="3" t="s">
        <v>506</v>
      </c>
      <c r="C373" s="3" t="s">
        <v>514</v>
      </c>
      <c r="D373" s="4" t="s">
        <v>521</v>
      </c>
      <c r="E373" s="3" t="s">
        <v>515</v>
      </c>
      <c r="F373" s="3" t="s">
        <v>21</v>
      </c>
      <c r="G373" s="3" t="s">
        <v>584</v>
      </c>
      <c r="H373" s="4" t="s">
        <v>23</v>
      </c>
      <c r="I373" s="2">
        <v>28.0</v>
      </c>
      <c r="J373" s="2">
        <v>48270.0</v>
      </c>
      <c r="K373" s="3" t="s">
        <v>25</v>
      </c>
      <c r="L373" s="3" t="s">
        <v>25</v>
      </c>
      <c r="M373" s="4" t="s">
        <v>500</v>
      </c>
      <c r="N373" s="2">
        <v>11250.0</v>
      </c>
      <c r="O373" s="2">
        <v>11000.0</v>
      </c>
      <c r="P373" s="5">
        <v>42003.0</v>
      </c>
      <c r="Q373" s="3" t="s">
        <v>42</v>
      </c>
    </row>
    <row r="374" ht="22.5" customHeight="1">
      <c r="A374" s="2">
        <v>2013.0</v>
      </c>
      <c r="B374" s="3" t="s">
        <v>506</v>
      </c>
      <c r="C374" s="3" t="s">
        <v>519</v>
      </c>
      <c r="D374" s="4" t="s">
        <v>508</v>
      </c>
      <c r="E374" s="3" t="s">
        <v>20</v>
      </c>
      <c r="F374" s="3" t="s">
        <v>21</v>
      </c>
      <c r="G374" s="3" t="s">
        <v>585</v>
      </c>
      <c r="H374" s="4" t="s">
        <v>23</v>
      </c>
      <c r="I374" s="2">
        <v>4.0</v>
      </c>
      <c r="J374" s="2">
        <v>36667.0</v>
      </c>
      <c r="K374" s="3" t="s">
        <v>25</v>
      </c>
      <c r="L374" s="3" t="s">
        <v>181</v>
      </c>
      <c r="M374" s="4" t="s">
        <v>143</v>
      </c>
      <c r="N374" s="2">
        <v>9375.0</v>
      </c>
      <c r="O374" s="2">
        <v>9800.0</v>
      </c>
      <c r="P374" s="5">
        <v>42004.0</v>
      </c>
      <c r="Q374" s="3" t="s">
        <v>84</v>
      </c>
    </row>
    <row r="375" ht="22.5" customHeight="1">
      <c r="A375" s="2">
        <v>2013.0</v>
      </c>
      <c r="B375" s="3" t="s">
        <v>506</v>
      </c>
      <c r="C375" s="3" t="s">
        <v>527</v>
      </c>
      <c r="D375" s="4" t="s">
        <v>508</v>
      </c>
      <c r="E375" s="3" t="s">
        <v>20</v>
      </c>
      <c r="F375" s="3" t="s">
        <v>21</v>
      </c>
      <c r="G375" s="3" t="s">
        <v>586</v>
      </c>
      <c r="H375" s="4" t="s">
        <v>23</v>
      </c>
      <c r="I375" s="2">
        <v>2.0</v>
      </c>
      <c r="J375" s="2">
        <v>81410.0</v>
      </c>
      <c r="K375" s="3" t="s">
        <v>25</v>
      </c>
      <c r="L375" s="3" t="s">
        <v>24</v>
      </c>
      <c r="M375" s="4" t="s">
        <v>510</v>
      </c>
      <c r="N375" s="2">
        <v>6775.0</v>
      </c>
      <c r="O375" s="2">
        <v>2700.0</v>
      </c>
      <c r="P375" s="5">
        <v>42017.0</v>
      </c>
      <c r="Q375" s="3" t="s">
        <v>42</v>
      </c>
    </row>
    <row r="376" ht="22.5" customHeight="1">
      <c r="A376" s="2">
        <v>2013.0</v>
      </c>
      <c r="B376" s="3" t="s">
        <v>506</v>
      </c>
      <c r="C376" s="3" t="s">
        <v>527</v>
      </c>
      <c r="D376" s="4" t="s">
        <v>508</v>
      </c>
      <c r="E376" s="3" t="s">
        <v>20</v>
      </c>
      <c r="F376" s="3" t="s">
        <v>21</v>
      </c>
      <c r="G376" s="3" t="s">
        <v>587</v>
      </c>
      <c r="H376" s="4" t="s">
        <v>23</v>
      </c>
      <c r="I376" s="2">
        <v>37.0</v>
      </c>
      <c r="J376" s="2">
        <v>39081.0</v>
      </c>
      <c r="K376" s="3" t="s">
        <v>32</v>
      </c>
      <c r="L376" s="3" t="s">
        <v>181</v>
      </c>
      <c r="M376" s="4" t="s">
        <v>510</v>
      </c>
      <c r="N376" s="2">
        <v>8075.0</v>
      </c>
      <c r="O376" s="2">
        <v>8500.0</v>
      </c>
      <c r="P376" s="5">
        <v>42017.0</v>
      </c>
      <c r="Q376" s="3" t="s">
        <v>42</v>
      </c>
    </row>
    <row r="377" ht="22.5" customHeight="1">
      <c r="A377" s="2">
        <v>2013.0</v>
      </c>
      <c r="B377" s="3" t="s">
        <v>506</v>
      </c>
      <c r="C377" s="3" t="s">
        <v>507</v>
      </c>
      <c r="D377" s="4" t="s">
        <v>517</v>
      </c>
      <c r="E377" s="3" t="s">
        <v>20</v>
      </c>
      <c r="F377" s="3" t="s">
        <v>21</v>
      </c>
      <c r="G377" s="3" t="s">
        <v>588</v>
      </c>
      <c r="H377" s="4" t="s">
        <v>23</v>
      </c>
      <c r="I377" s="2">
        <v>23.0</v>
      </c>
      <c r="J377" s="2">
        <v>38247.0</v>
      </c>
      <c r="K377" s="3" t="s">
        <v>139</v>
      </c>
      <c r="L377" s="3" t="s">
        <v>25</v>
      </c>
      <c r="M377" s="4" t="s">
        <v>510</v>
      </c>
      <c r="N377" s="2">
        <v>19850.0</v>
      </c>
      <c r="O377" s="2">
        <v>17000.0</v>
      </c>
      <c r="P377" s="5">
        <v>42017.0</v>
      </c>
      <c r="Q377" s="3" t="s">
        <v>42</v>
      </c>
    </row>
    <row r="378" ht="22.5" customHeight="1">
      <c r="A378" s="2">
        <v>2013.0</v>
      </c>
      <c r="B378" s="3" t="s">
        <v>506</v>
      </c>
      <c r="C378" s="3" t="s">
        <v>519</v>
      </c>
      <c r="D378" s="4" t="s">
        <v>508</v>
      </c>
      <c r="E378" s="3" t="s">
        <v>20</v>
      </c>
      <c r="F378" s="3" t="s">
        <v>21</v>
      </c>
      <c r="G378" s="3" t="s">
        <v>589</v>
      </c>
      <c r="H378" s="4" t="s">
        <v>23</v>
      </c>
      <c r="I378" s="2">
        <v>2.0</v>
      </c>
      <c r="J378" s="2">
        <v>45800.0</v>
      </c>
      <c r="K378" s="3" t="s">
        <v>25</v>
      </c>
      <c r="L378" s="3" t="s">
        <v>181</v>
      </c>
      <c r="M378" s="4" t="s">
        <v>510</v>
      </c>
      <c r="N378" s="2">
        <v>8550.0</v>
      </c>
      <c r="O378" s="2">
        <v>3850.0</v>
      </c>
      <c r="P378" s="5">
        <v>42017.0</v>
      </c>
      <c r="Q378" s="3" t="s">
        <v>42</v>
      </c>
    </row>
    <row r="379" ht="22.5" customHeight="1">
      <c r="A379" s="2">
        <v>2015.0</v>
      </c>
      <c r="B379" s="3" t="s">
        <v>506</v>
      </c>
      <c r="C379" s="3" t="s">
        <v>590</v>
      </c>
      <c r="D379" s="4" t="s">
        <v>122</v>
      </c>
      <c r="E379" s="3" t="s">
        <v>20</v>
      </c>
      <c r="F379" s="3" t="s">
        <v>21</v>
      </c>
      <c r="G379" s="3" t="s">
        <v>591</v>
      </c>
      <c r="H379" s="4" t="s">
        <v>23</v>
      </c>
      <c r="I379" s="2">
        <v>44.0</v>
      </c>
      <c r="J379" s="2">
        <v>9684.0</v>
      </c>
      <c r="K379" s="3" t="s">
        <v>32</v>
      </c>
      <c r="L379" s="3" t="s">
        <v>24</v>
      </c>
      <c r="M379" s="4" t="s">
        <v>531</v>
      </c>
      <c r="N379" s="2">
        <v>41000.0</v>
      </c>
      <c r="O379" s="2">
        <v>41000.0</v>
      </c>
      <c r="P379" s="5">
        <v>42024.0</v>
      </c>
      <c r="Q379" s="3" t="s">
        <v>42</v>
      </c>
    </row>
    <row r="380" ht="22.5" customHeight="1">
      <c r="A380" s="2">
        <v>2013.0</v>
      </c>
      <c r="B380" s="3" t="s">
        <v>506</v>
      </c>
      <c r="C380" s="3" t="s">
        <v>507</v>
      </c>
      <c r="D380" s="4" t="s">
        <v>517</v>
      </c>
      <c r="E380" s="3" t="s">
        <v>20</v>
      </c>
      <c r="F380" s="3" t="s">
        <v>21</v>
      </c>
      <c r="G380" s="3" t="s">
        <v>592</v>
      </c>
      <c r="H380" s="4" t="s">
        <v>23</v>
      </c>
      <c r="I380" s="2">
        <v>36.0</v>
      </c>
      <c r="J380" s="2">
        <v>30333.0</v>
      </c>
      <c r="K380" s="3" t="s">
        <v>25</v>
      </c>
      <c r="L380" s="3" t="s">
        <v>25</v>
      </c>
      <c r="M380" s="4" t="s">
        <v>510</v>
      </c>
      <c r="N380" s="2">
        <v>20600.0</v>
      </c>
      <c r="O380" s="2">
        <v>19900.0</v>
      </c>
      <c r="P380" s="5">
        <v>42024.0</v>
      </c>
      <c r="Q380" s="3" t="s">
        <v>42</v>
      </c>
    </row>
    <row r="381" ht="22.5" customHeight="1">
      <c r="A381" s="2">
        <v>2015.0</v>
      </c>
      <c r="B381" s="3" t="s">
        <v>506</v>
      </c>
      <c r="C381" s="3" t="s">
        <v>590</v>
      </c>
      <c r="D381" s="4" t="s">
        <v>122</v>
      </c>
      <c r="E381" s="3" t="s">
        <v>20</v>
      </c>
      <c r="F381" s="3" t="s">
        <v>21</v>
      </c>
      <c r="G381" s="3" t="s">
        <v>593</v>
      </c>
      <c r="H381" s="4" t="s">
        <v>23</v>
      </c>
      <c r="I381" s="2">
        <v>42.0</v>
      </c>
      <c r="J381" s="2">
        <v>5304.0</v>
      </c>
      <c r="K381" s="3" t="s">
        <v>167</v>
      </c>
      <c r="L381" s="3" t="s">
        <v>25</v>
      </c>
      <c r="M381" s="4" t="s">
        <v>531</v>
      </c>
      <c r="N381" s="2">
        <v>39500.0</v>
      </c>
      <c r="O381" s="2">
        <v>40000.0</v>
      </c>
      <c r="P381" s="5">
        <v>42052.0</v>
      </c>
      <c r="Q381" s="3" t="s">
        <v>42</v>
      </c>
    </row>
    <row r="382" ht="22.5" customHeight="1">
      <c r="A382" s="2">
        <v>2013.0</v>
      </c>
      <c r="B382" s="3" t="s">
        <v>594</v>
      </c>
      <c r="C382" s="3" t="s">
        <v>595</v>
      </c>
      <c r="D382" s="4" t="s">
        <v>596</v>
      </c>
      <c r="E382" s="3" t="s">
        <v>30</v>
      </c>
      <c r="F382" s="3" t="s">
        <v>21</v>
      </c>
      <c r="G382" s="3" t="s">
        <v>597</v>
      </c>
      <c r="H382" s="4" t="s">
        <v>23</v>
      </c>
      <c r="I382" s="2">
        <v>48.0</v>
      </c>
      <c r="J382" s="2">
        <v>25524.0</v>
      </c>
      <c r="K382" s="3" t="s">
        <v>167</v>
      </c>
      <c r="L382" s="3" t="s">
        <v>25</v>
      </c>
      <c r="M382" s="4" t="s">
        <v>598</v>
      </c>
      <c r="N382" s="2">
        <v>35400.0</v>
      </c>
      <c r="O382" s="2">
        <v>35500.0</v>
      </c>
      <c r="P382" s="5">
        <v>41990.0</v>
      </c>
      <c r="Q382" s="3" t="s">
        <v>84</v>
      </c>
    </row>
    <row r="383" ht="22.5" customHeight="1">
      <c r="A383" s="2">
        <v>2013.0</v>
      </c>
      <c r="B383" s="3" t="s">
        <v>594</v>
      </c>
      <c r="C383" s="3" t="s">
        <v>595</v>
      </c>
      <c r="D383" s="4" t="s">
        <v>596</v>
      </c>
      <c r="E383" s="3" t="s">
        <v>30</v>
      </c>
      <c r="F383" s="3" t="s">
        <v>21</v>
      </c>
      <c r="G383" s="3" t="s">
        <v>599</v>
      </c>
      <c r="H383" s="4" t="s">
        <v>23</v>
      </c>
      <c r="I383" s="2">
        <v>46.0</v>
      </c>
      <c r="J383" s="2">
        <v>9214.0</v>
      </c>
      <c r="K383" s="3" t="s">
        <v>32</v>
      </c>
      <c r="L383" s="3" t="s">
        <v>25</v>
      </c>
      <c r="M383" s="4" t="s">
        <v>570</v>
      </c>
      <c r="N383" s="2">
        <v>37400.0</v>
      </c>
      <c r="O383" s="2">
        <v>39000.0</v>
      </c>
      <c r="P383" s="5">
        <v>41991.0</v>
      </c>
      <c r="Q383" s="3" t="s">
        <v>27</v>
      </c>
    </row>
    <row r="384" ht="22.5" customHeight="1">
      <c r="A384" s="2">
        <v>2013.0</v>
      </c>
      <c r="B384" s="3" t="s">
        <v>594</v>
      </c>
      <c r="C384" s="3" t="s">
        <v>600</v>
      </c>
      <c r="D384" s="4" t="s">
        <v>601</v>
      </c>
      <c r="E384" s="3" t="s">
        <v>30</v>
      </c>
      <c r="F384" s="3" t="s">
        <v>21</v>
      </c>
      <c r="G384" s="3" t="s">
        <v>602</v>
      </c>
      <c r="H384" s="4" t="s">
        <v>23</v>
      </c>
      <c r="I384" s="2">
        <v>44.0</v>
      </c>
      <c r="J384" s="2">
        <v>2059.0</v>
      </c>
      <c r="K384" s="3" t="s">
        <v>24</v>
      </c>
      <c r="L384" s="3" t="s">
        <v>25</v>
      </c>
      <c r="M384" s="4" t="s">
        <v>603</v>
      </c>
      <c r="N384" s="2">
        <v>58500.0</v>
      </c>
      <c r="O384" s="2">
        <v>42000.0</v>
      </c>
      <c r="P384" s="5">
        <v>41991.0</v>
      </c>
      <c r="Q384" s="3" t="s">
        <v>27</v>
      </c>
    </row>
    <row r="385" ht="22.5" customHeight="1">
      <c r="A385" s="2">
        <v>2013.0</v>
      </c>
      <c r="B385" s="3" t="s">
        <v>594</v>
      </c>
      <c r="C385" s="3" t="s">
        <v>595</v>
      </c>
      <c r="D385" s="4" t="s">
        <v>604</v>
      </c>
      <c r="E385" s="3" t="s">
        <v>30</v>
      </c>
      <c r="F385" s="3" t="s">
        <v>21</v>
      </c>
      <c r="G385" s="3" t="s">
        <v>605</v>
      </c>
      <c r="H385" s="4" t="s">
        <v>23</v>
      </c>
      <c r="I385" s="2">
        <v>5.0</v>
      </c>
      <c r="J385" s="2">
        <v>5403.0</v>
      </c>
      <c r="K385" s="3" t="s">
        <v>24</v>
      </c>
      <c r="L385" s="3" t="s">
        <v>25</v>
      </c>
      <c r="M385" s="4" t="s">
        <v>603</v>
      </c>
      <c r="N385" s="2">
        <v>38600.0</v>
      </c>
      <c r="O385" s="2">
        <v>30500.0</v>
      </c>
      <c r="P385" s="5">
        <v>41991.0</v>
      </c>
      <c r="Q385" s="3" t="s">
        <v>27</v>
      </c>
    </row>
    <row r="386" ht="22.5" customHeight="1">
      <c r="A386" s="2">
        <v>2013.0</v>
      </c>
      <c r="B386" s="3" t="s">
        <v>594</v>
      </c>
      <c r="C386" s="3" t="s">
        <v>606</v>
      </c>
      <c r="D386" s="4" t="s">
        <v>607</v>
      </c>
      <c r="E386" s="3" t="s">
        <v>30</v>
      </c>
      <c r="F386" s="3" t="s">
        <v>21</v>
      </c>
      <c r="G386" s="3" t="s">
        <v>608</v>
      </c>
      <c r="H386" s="4" t="s">
        <v>23</v>
      </c>
      <c r="I386" s="2">
        <v>37.0</v>
      </c>
      <c r="J386" s="2">
        <v>26757.0</v>
      </c>
      <c r="K386" s="3" t="s">
        <v>25</v>
      </c>
      <c r="L386" s="3" t="s">
        <v>24</v>
      </c>
      <c r="M386" s="4" t="s">
        <v>317</v>
      </c>
      <c r="N386" s="2">
        <v>61000.0</v>
      </c>
      <c r="O386" s="2">
        <v>60000.0</v>
      </c>
      <c r="P386" s="5">
        <v>41991.0</v>
      </c>
      <c r="Q386" s="3" t="s">
        <v>27</v>
      </c>
    </row>
    <row r="387" ht="22.5" customHeight="1">
      <c r="A387" s="2">
        <v>2013.0</v>
      </c>
      <c r="B387" s="3" t="s">
        <v>609</v>
      </c>
      <c r="C387" s="3" t="s">
        <v>610</v>
      </c>
      <c r="D387" s="4" t="s">
        <v>34</v>
      </c>
      <c r="E387" s="3" t="s">
        <v>30</v>
      </c>
      <c r="F387" s="3" t="s">
        <v>21</v>
      </c>
      <c r="G387" s="3" t="s">
        <v>611</v>
      </c>
      <c r="H387" s="4" t="s">
        <v>23</v>
      </c>
      <c r="I387" s="2">
        <v>46.0</v>
      </c>
      <c r="J387" s="2">
        <v>21932.0</v>
      </c>
      <c r="K387" s="3" t="s">
        <v>212</v>
      </c>
      <c r="L387" s="3" t="s">
        <v>25</v>
      </c>
      <c r="M387" s="4" t="s">
        <v>41</v>
      </c>
      <c r="N387" s="2">
        <v>36200.0</v>
      </c>
      <c r="O387" s="2">
        <v>37750.0</v>
      </c>
      <c r="P387" s="5">
        <v>41989.0</v>
      </c>
      <c r="Q387" s="3" t="s">
        <v>42</v>
      </c>
    </row>
    <row r="388" ht="22.5" customHeight="1">
      <c r="A388" s="2">
        <v>2013.0</v>
      </c>
      <c r="B388" s="3" t="s">
        <v>609</v>
      </c>
      <c r="C388" s="3" t="s">
        <v>612</v>
      </c>
      <c r="D388" s="4" t="s">
        <v>34</v>
      </c>
      <c r="E388" s="3" t="s">
        <v>20</v>
      </c>
      <c r="F388" s="3" t="s">
        <v>21</v>
      </c>
      <c r="G388" s="3" t="s">
        <v>613</v>
      </c>
      <c r="H388" s="4" t="s">
        <v>23</v>
      </c>
      <c r="I388" s="2">
        <v>36.0</v>
      </c>
      <c r="J388" s="2">
        <v>20880.0</v>
      </c>
      <c r="K388" s="3" t="s">
        <v>24</v>
      </c>
      <c r="L388" s="3" t="s">
        <v>181</v>
      </c>
      <c r="M388" s="4" t="s">
        <v>160</v>
      </c>
      <c r="N388" s="2">
        <v>29400.0</v>
      </c>
      <c r="O388" s="2">
        <v>29300.0</v>
      </c>
      <c r="P388" s="5">
        <v>41989.0</v>
      </c>
      <c r="Q388" s="3" t="s">
        <v>42</v>
      </c>
    </row>
    <row r="389" ht="22.5" customHeight="1">
      <c r="A389" s="2">
        <v>2013.0</v>
      </c>
      <c r="B389" s="3" t="s">
        <v>609</v>
      </c>
      <c r="C389" s="3" t="s">
        <v>614</v>
      </c>
      <c r="D389" s="4" t="s">
        <v>34</v>
      </c>
      <c r="E389" s="3" t="s">
        <v>20</v>
      </c>
      <c r="F389" s="3" t="s">
        <v>21</v>
      </c>
      <c r="G389" s="3" t="s">
        <v>615</v>
      </c>
      <c r="H389" s="4" t="s">
        <v>23</v>
      </c>
      <c r="I389" s="2">
        <v>36.0</v>
      </c>
      <c r="J389" s="2">
        <v>39590.0</v>
      </c>
      <c r="K389" s="3" t="s">
        <v>32</v>
      </c>
      <c r="L389" s="3" t="s">
        <v>32</v>
      </c>
      <c r="M389" s="4" t="s">
        <v>616</v>
      </c>
      <c r="N389" s="2">
        <v>32100.0</v>
      </c>
      <c r="O389" s="2">
        <v>32100.0</v>
      </c>
      <c r="P389" s="5">
        <v>41990.0</v>
      </c>
      <c r="Q389" s="3" t="s">
        <v>84</v>
      </c>
    </row>
    <row r="390" ht="22.5" customHeight="1">
      <c r="A390" s="2">
        <v>2013.0</v>
      </c>
      <c r="B390" s="3" t="s">
        <v>609</v>
      </c>
      <c r="C390" s="3" t="s">
        <v>614</v>
      </c>
      <c r="D390" s="4" t="s">
        <v>34</v>
      </c>
      <c r="E390" s="3" t="s">
        <v>20</v>
      </c>
      <c r="F390" s="3" t="s">
        <v>21</v>
      </c>
      <c r="G390" s="3" t="s">
        <v>617</v>
      </c>
      <c r="H390" s="4" t="s">
        <v>23</v>
      </c>
      <c r="I390" s="2">
        <v>46.0</v>
      </c>
      <c r="J390" s="2">
        <v>22672.0</v>
      </c>
      <c r="K390" s="3" t="s">
        <v>207</v>
      </c>
      <c r="L390" s="3" t="s">
        <v>173</v>
      </c>
      <c r="M390" s="4" t="s">
        <v>616</v>
      </c>
      <c r="N390" s="2">
        <v>34500.0</v>
      </c>
      <c r="O390" s="2">
        <v>34500.0</v>
      </c>
      <c r="P390" s="5">
        <v>41990.0</v>
      </c>
      <c r="Q390" s="3" t="s">
        <v>84</v>
      </c>
    </row>
    <row r="391" ht="22.5" customHeight="1">
      <c r="A391" s="2">
        <v>2013.0</v>
      </c>
      <c r="B391" s="3" t="s">
        <v>609</v>
      </c>
      <c r="C391" s="3" t="s">
        <v>612</v>
      </c>
      <c r="D391" s="4" t="s">
        <v>34</v>
      </c>
      <c r="E391" s="3" t="s">
        <v>20</v>
      </c>
      <c r="F391" s="3" t="s">
        <v>21</v>
      </c>
      <c r="G391" s="3" t="s">
        <v>618</v>
      </c>
      <c r="H391" s="4" t="s">
        <v>23</v>
      </c>
      <c r="I391" s="2">
        <v>38.0</v>
      </c>
      <c r="J391" s="2">
        <v>24478.0</v>
      </c>
      <c r="K391" s="3" t="s">
        <v>24</v>
      </c>
      <c r="L391" s="3" t="s">
        <v>25</v>
      </c>
      <c r="M391" s="4" t="s">
        <v>619</v>
      </c>
      <c r="N391" s="2">
        <v>28900.0</v>
      </c>
      <c r="O391" s="2">
        <v>27750.0</v>
      </c>
      <c r="P391" s="5">
        <v>41991.0</v>
      </c>
      <c r="Q391" s="3" t="s">
        <v>27</v>
      </c>
    </row>
    <row r="392" ht="22.5" customHeight="1">
      <c r="A392" s="2">
        <v>2013.0</v>
      </c>
      <c r="B392" s="3" t="s">
        <v>609</v>
      </c>
      <c r="C392" s="3" t="s">
        <v>614</v>
      </c>
      <c r="D392" s="4" t="s">
        <v>34</v>
      </c>
      <c r="E392" s="3" t="s">
        <v>20</v>
      </c>
      <c r="F392" s="3" t="s">
        <v>21</v>
      </c>
      <c r="G392" s="3" t="s">
        <v>620</v>
      </c>
      <c r="H392" s="4" t="s">
        <v>23</v>
      </c>
      <c r="I392" s="2">
        <v>38.0</v>
      </c>
      <c r="J392" s="2">
        <v>42813.0</v>
      </c>
      <c r="K392" s="3" t="s">
        <v>25</v>
      </c>
      <c r="L392" s="3" t="s">
        <v>24</v>
      </c>
      <c r="M392" s="4" t="s">
        <v>621</v>
      </c>
      <c r="N392" s="2">
        <v>31900.0</v>
      </c>
      <c r="O392" s="2">
        <v>31000.0</v>
      </c>
      <c r="P392" s="5">
        <v>41991.0</v>
      </c>
      <c r="Q392" s="3" t="s">
        <v>27</v>
      </c>
    </row>
    <row r="393" ht="22.5" customHeight="1">
      <c r="A393" s="2">
        <v>2015.0</v>
      </c>
      <c r="B393" s="3" t="s">
        <v>609</v>
      </c>
      <c r="C393" s="3" t="s">
        <v>610</v>
      </c>
      <c r="D393" s="4" t="s">
        <v>34</v>
      </c>
      <c r="E393" s="3" t="s">
        <v>30</v>
      </c>
      <c r="F393" s="3" t="s">
        <v>21</v>
      </c>
      <c r="G393" s="3" t="s">
        <v>622</v>
      </c>
      <c r="H393" s="4" t="s">
        <v>23</v>
      </c>
      <c r="I393" s="2">
        <v>43.0</v>
      </c>
      <c r="J393" s="2">
        <v>7770.0</v>
      </c>
      <c r="K393" s="3" t="s">
        <v>32</v>
      </c>
      <c r="L393" s="3" t="s">
        <v>25</v>
      </c>
      <c r="M393" s="4" t="s">
        <v>616</v>
      </c>
      <c r="N393" s="2">
        <v>41200.0</v>
      </c>
      <c r="O393" s="2">
        <v>38400.0</v>
      </c>
      <c r="P393" s="5">
        <v>42003.0</v>
      </c>
      <c r="Q393" s="3" t="s">
        <v>42</v>
      </c>
    </row>
    <row r="394" ht="22.5" customHeight="1">
      <c r="A394" s="2">
        <v>2013.0</v>
      </c>
      <c r="B394" s="3" t="s">
        <v>609</v>
      </c>
      <c r="C394" s="3" t="s">
        <v>623</v>
      </c>
      <c r="D394" s="4" t="s">
        <v>624</v>
      </c>
      <c r="E394" s="3" t="s">
        <v>20</v>
      </c>
      <c r="F394" s="3" t="s">
        <v>21</v>
      </c>
      <c r="G394" s="3" t="s">
        <v>625</v>
      </c>
      <c r="H394" s="4" t="s">
        <v>23</v>
      </c>
      <c r="I394" s="2">
        <v>49.0</v>
      </c>
      <c r="J394" s="2">
        <v>71.0</v>
      </c>
      <c r="K394" s="3" t="s">
        <v>207</v>
      </c>
      <c r="L394" s="3" t="s">
        <v>181</v>
      </c>
      <c r="M394" s="4" t="s">
        <v>626</v>
      </c>
      <c r="N394" s="2">
        <v>66000.0</v>
      </c>
      <c r="O394" s="2">
        <v>64000.0</v>
      </c>
      <c r="P394" s="5">
        <v>42003.0</v>
      </c>
      <c r="Q394" s="3" t="s">
        <v>42</v>
      </c>
    </row>
    <row r="395" ht="22.5" customHeight="1">
      <c r="A395" s="2">
        <v>2013.0</v>
      </c>
      <c r="B395" s="3" t="s">
        <v>609</v>
      </c>
      <c r="C395" s="3" t="s">
        <v>614</v>
      </c>
      <c r="D395" s="4" t="s">
        <v>34</v>
      </c>
      <c r="E395" s="3" t="s">
        <v>20</v>
      </c>
      <c r="F395" s="3" t="s">
        <v>21</v>
      </c>
      <c r="G395" s="3" t="s">
        <v>627</v>
      </c>
      <c r="H395" s="4" t="s">
        <v>23</v>
      </c>
      <c r="I395" s="2">
        <v>34.0</v>
      </c>
      <c r="J395" s="2">
        <v>17786.0</v>
      </c>
      <c r="K395" s="3" t="s">
        <v>181</v>
      </c>
      <c r="L395" s="3" t="s">
        <v>173</v>
      </c>
      <c r="M395" s="4" t="s">
        <v>616</v>
      </c>
      <c r="N395" s="2">
        <v>34500.0</v>
      </c>
      <c r="O395" s="2">
        <v>33000.0</v>
      </c>
      <c r="P395" s="5">
        <v>42018.0</v>
      </c>
      <c r="Q395" s="3" t="s">
        <v>84</v>
      </c>
    </row>
    <row r="396" ht="22.5" customHeight="1">
      <c r="A396" s="2">
        <v>2013.0</v>
      </c>
      <c r="B396" s="3" t="s">
        <v>609</v>
      </c>
      <c r="C396" s="3" t="s">
        <v>614</v>
      </c>
      <c r="D396" s="4" t="s">
        <v>34</v>
      </c>
      <c r="E396" s="3" t="s">
        <v>20</v>
      </c>
      <c r="F396" s="3" t="s">
        <v>21</v>
      </c>
      <c r="G396" s="3" t="s">
        <v>628</v>
      </c>
      <c r="H396" s="4" t="s">
        <v>23</v>
      </c>
      <c r="I396" s="2">
        <v>35.0</v>
      </c>
      <c r="J396" s="2">
        <v>21189.0</v>
      </c>
      <c r="K396" s="3" t="s">
        <v>36</v>
      </c>
      <c r="L396" s="3" t="s">
        <v>25</v>
      </c>
      <c r="M396" s="4" t="s">
        <v>616</v>
      </c>
      <c r="N396" s="2">
        <v>34200.0</v>
      </c>
      <c r="O396" s="2">
        <v>31900.0</v>
      </c>
      <c r="P396" s="5">
        <v>42025.0</v>
      </c>
      <c r="Q396" s="3" t="s">
        <v>84</v>
      </c>
    </row>
    <row r="397" ht="22.5" customHeight="1">
      <c r="A397" s="2">
        <v>2013.0</v>
      </c>
      <c r="B397" s="3" t="s">
        <v>629</v>
      </c>
      <c r="C397" s="3" t="s">
        <v>630</v>
      </c>
      <c r="D397" s="4" t="s">
        <v>34</v>
      </c>
      <c r="E397" s="3" t="s">
        <v>30</v>
      </c>
      <c r="F397" s="3" t="s">
        <v>21</v>
      </c>
      <c r="G397" s="3" t="s">
        <v>631</v>
      </c>
      <c r="H397" s="4" t="s">
        <v>23</v>
      </c>
      <c r="I397" s="2">
        <v>43.0</v>
      </c>
      <c r="J397" s="2">
        <v>39459.0</v>
      </c>
      <c r="K397" s="3" t="s">
        <v>212</v>
      </c>
      <c r="L397" s="3" t="s">
        <v>230</v>
      </c>
      <c r="M397" s="4" t="s">
        <v>143</v>
      </c>
      <c r="N397" s="2">
        <v>24700.0</v>
      </c>
      <c r="O397" s="2">
        <v>24500.0</v>
      </c>
      <c r="P397" s="5">
        <v>41990.0</v>
      </c>
      <c r="Q397" s="3" t="s">
        <v>84</v>
      </c>
    </row>
    <row r="398" ht="22.5" customHeight="1">
      <c r="A398" s="2">
        <v>2013.0</v>
      </c>
      <c r="B398" s="3" t="s">
        <v>632</v>
      </c>
      <c r="C398" s="3" t="s">
        <v>633</v>
      </c>
      <c r="D398" s="4" t="s">
        <v>634</v>
      </c>
      <c r="E398" s="3" t="s">
        <v>215</v>
      </c>
      <c r="F398" s="3" t="s">
        <v>21</v>
      </c>
      <c r="G398" s="3" t="s">
        <v>635</v>
      </c>
      <c r="H398" s="4" t="s">
        <v>23</v>
      </c>
      <c r="I398" s="2">
        <v>35.0</v>
      </c>
      <c r="J398" s="2">
        <v>44392.0</v>
      </c>
      <c r="K398" s="3" t="s">
        <v>139</v>
      </c>
      <c r="L398" s="3" t="s">
        <v>25</v>
      </c>
      <c r="M398" s="4" t="s">
        <v>83</v>
      </c>
      <c r="N398" s="2">
        <v>8475.0</v>
      </c>
      <c r="O398" s="2">
        <v>8500.0</v>
      </c>
      <c r="P398" s="5">
        <v>41989.0</v>
      </c>
      <c r="Q398" s="3" t="s">
        <v>42</v>
      </c>
    </row>
    <row r="399" ht="22.5" customHeight="1">
      <c r="A399" s="2">
        <v>2013.0</v>
      </c>
      <c r="B399" s="3" t="s">
        <v>632</v>
      </c>
      <c r="C399" s="3" t="s">
        <v>636</v>
      </c>
      <c r="D399" s="4" t="s">
        <v>637</v>
      </c>
      <c r="E399" s="3" t="s">
        <v>20</v>
      </c>
      <c r="F399" s="3" t="s">
        <v>21</v>
      </c>
      <c r="G399" s="3" t="s">
        <v>638</v>
      </c>
      <c r="H399" s="4" t="s">
        <v>23</v>
      </c>
      <c r="I399" s="2">
        <v>3.0</v>
      </c>
      <c r="J399" s="2">
        <v>47917.0</v>
      </c>
      <c r="K399" s="3" t="s">
        <v>25</v>
      </c>
      <c r="L399" s="3" t="s">
        <v>25</v>
      </c>
      <c r="M399" s="4" t="s">
        <v>639</v>
      </c>
      <c r="N399" s="2">
        <v>9100.0</v>
      </c>
      <c r="O399" s="2">
        <v>9600.0</v>
      </c>
      <c r="P399" s="5">
        <v>41989.0</v>
      </c>
      <c r="Q399" s="3" t="s">
        <v>42</v>
      </c>
    </row>
    <row r="400" ht="22.5" customHeight="1">
      <c r="A400" s="2">
        <v>2013.0</v>
      </c>
      <c r="B400" s="3" t="s">
        <v>632</v>
      </c>
      <c r="C400" s="3" t="s">
        <v>640</v>
      </c>
      <c r="D400" s="4" t="s">
        <v>634</v>
      </c>
      <c r="E400" s="3" t="s">
        <v>641</v>
      </c>
      <c r="F400" s="3" t="s">
        <v>21</v>
      </c>
      <c r="G400" s="3" t="s">
        <v>642</v>
      </c>
      <c r="H400" s="4" t="s">
        <v>23</v>
      </c>
      <c r="I400" s="2">
        <v>35.0</v>
      </c>
      <c r="J400" s="2">
        <v>39272.0</v>
      </c>
      <c r="K400" s="3" t="s">
        <v>139</v>
      </c>
      <c r="L400" s="3" t="s">
        <v>24</v>
      </c>
      <c r="M400" s="4" t="s">
        <v>168</v>
      </c>
      <c r="N400" s="2">
        <v>11300.0</v>
      </c>
      <c r="O400" s="2">
        <v>12400.0</v>
      </c>
      <c r="P400" s="5">
        <v>41989.0</v>
      </c>
      <c r="Q400" s="3" t="s">
        <v>42</v>
      </c>
    </row>
    <row r="401" ht="22.5" customHeight="1">
      <c r="A401" s="2">
        <v>2013.0</v>
      </c>
      <c r="B401" s="3" t="s">
        <v>632</v>
      </c>
      <c r="C401" s="3" t="s">
        <v>636</v>
      </c>
      <c r="D401" s="4" t="s">
        <v>643</v>
      </c>
      <c r="E401" s="3" t="s">
        <v>20</v>
      </c>
      <c r="F401" s="3" t="s">
        <v>21</v>
      </c>
      <c r="G401" s="3" t="s">
        <v>644</v>
      </c>
      <c r="H401" s="4" t="s">
        <v>23</v>
      </c>
      <c r="I401" s="2">
        <v>2.0</v>
      </c>
      <c r="J401" s="2">
        <v>45649.0</v>
      </c>
      <c r="K401" s="3" t="s">
        <v>25</v>
      </c>
      <c r="L401" s="3" t="s">
        <v>25</v>
      </c>
      <c r="M401" s="4" t="s">
        <v>317</v>
      </c>
      <c r="N401" s="2">
        <v>10250.0</v>
      </c>
      <c r="O401" s="2">
        <v>10000.0</v>
      </c>
      <c r="P401" s="5">
        <v>41989.0</v>
      </c>
      <c r="Q401" s="3" t="s">
        <v>42</v>
      </c>
    </row>
    <row r="402" ht="22.5" customHeight="1">
      <c r="A402" s="2">
        <v>2013.0</v>
      </c>
      <c r="B402" s="3" t="s">
        <v>632</v>
      </c>
      <c r="C402" s="3" t="s">
        <v>645</v>
      </c>
      <c r="D402" s="4" t="s">
        <v>634</v>
      </c>
      <c r="E402" s="3" t="s">
        <v>30</v>
      </c>
      <c r="F402" s="3" t="s">
        <v>21</v>
      </c>
      <c r="G402" s="3" t="s">
        <v>646</v>
      </c>
      <c r="H402" s="4" t="s">
        <v>23</v>
      </c>
      <c r="I402" s="2">
        <v>29.0</v>
      </c>
      <c r="J402" s="2">
        <v>41807.0</v>
      </c>
      <c r="K402" s="3" t="s">
        <v>24</v>
      </c>
      <c r="L402" s="3" t="s">
        <v>25</v>
      </c>
      <c r="M402" s="4" t="s">
        <v>168</v>
      </c>
      <c r="N402" s="2">
        <v>18850.0</v>
      </c>
      <c r="O402" s="2">
        <v>19900.0</v>
      </c>
      <c r="P402" s="5">
        <v>41989.0</v>
      </c>
      <c r="Q402" s="3" t="s">
        <v>42</v>
      </c>
    </row>
    <row r="403" ht="22.5" customHeight="1">
      <c r="A403" s="2">
        <v>2013.0</v>
      </c>
      <c r="B403" s="3" t="s">
        <v>632</v>
      </c>
      <c r="C403" s="3" t="s">
        <v>640</v>
      </c>
      <c r="D403" s="4" t="s">
        <v>202</v>
      </c>
      <c r="E403" s="3" t="s">
        <v>641</v>
      </c>
      <c r="F403" s="3" t="s">
        <v>21</v>
      </c>
      <c r="G403" s="3" t="s">
        <v>647</v>
      </c>
      <c r="H403" s="4" t="s">
        <v>23</v>
      </c>
      <c r="I403" s="2">
        <v>29.0</v>
      </c>
      <c r="J403" s="2">
        <v>40275.0</v>
      </c>
      <c r="K403" s="3" t="s">
        <v>24</v>
      </c>
      <c r="L403" s="3" t="s">
        <v>25</v>
      </c>
      <c r="M403" s="4" t="s">
        <v>160</v>
      </c>
      <c r="N403" s="2">
        <v>12050.0</v>
      </c>
      <c r="O403" s="2">
        <v>12200.0</v>
      </c>
      <c r="P403" s="5">
        <v>41989.0</v>
      </c>
      <c r="Q403" s="3" t="s">
        <v>42</v>
      </c>
    </row>
    <row r="404" ht="22.5" customHeight="1">
      <c r="A404" s="2">
        <v>2013.0</v>
      </c>
      <c r="B404" s="3" t="s">
        <v>632</v>
      </c>
      <c r="C404" s="3" t="s">
        <v>640</v>
      </c>
      <c r="D404" s="4" t="s">
        <v>202</v>
      </c>
      <c r="E404" s="3" t="s">
        <v>641</v>
      </c>
      <c r="F404" s="3" t="s">
        <v>21</v>
      </c>
      <c r="G404" s="3" t="s">
        <v>648</v>
      </c>
      <c r="H404" s="4" t="s">
        <v>23</v>
      </c>
      <c r="I404" s="2">
        <v>45.0</v>
      </c>
      <c r="J404" s="2">
        <v>7787.0</v>
      </c>
      <c r="K404" s="3" t="s">
        <v>32</v>
      </c>
      <c r="L404" s="3" t="s">
        <v>181</v>
      </c>
      <c r="M404" s="4" t="s">
        <v>649</v>
      </c>
      <c r="N404" s="2">
        <v>14200.0</v>
      </c>
      <c r="O404" s="2">
        <v>14000.0</v>
      </c>
      <c r="P404" s="5">
        <v>41989.0</v>
      </c>
      <c r="Q404" s="3" t="s">
        <v>42</v>
      </c>
    </row>
    <row r="405" ht="22.5" customHeight="1">
      <c r="A405" s="2">
        <v>2013.0</v>
      </c>
      <c r="B405" s="3" t="s">
        <v>632</v>
      </c>
      <c r="C405" s="3" t="s">
        <v>636</v>
      </c>
      <c r="D405" s="4" t="s">
        <v>643</v>
      </c>
      <c r="E405" s="3" t="s">
        <v>20</v>
      </c>
      <c r="F405" s="3" t="s">
        <v>21</v>
      </c>
      <c r="G405" s="3" t="s">
        <v>650</v>
      </c>
      <c r="H405" s="4" t="s">
        <v>23</v>
      </c>
      <c r="I405" s="2">
        <v>38.0</v>
      </c>
      <c r="J405" s="2">
        <v>39573.0</v>
      </c>
      <c r="K405" s="3" t="s">
        <v>167</v>
      </c>
      <c r="L405" s="3" t="s">
        <v>25</v>
      </c>
      <c r="M405" s="4" t="s">
        <v>168</v>
      </c>
      <c r="N405" s="2">
        <v>10650.0</v>
      </c>
      <c r="O405" s="2">
        <v>11800.0</v>
      </c>
      <c r="P405" s="5">
        <v>41989.0</v>
      </c>
      <c r="Q405" s="3" t="s">
        <v>42</v>
      </c>
    </row>
    <row r="406" ht="22.5" customHeight="1">
      <c r="A406" s="2">
        <v>2013.0</v>
      </c>
      <c r="B406" s="3" t="s">
        <v>632</v>
      </c>
      <c r="C406" s="3" t="s">
        <v>640</v>
      </c>
      <c r="D406" s="4" t="s">
        <v>202</v>
      </c>
      <c r="E406" s="3" t="s">
        <v>641</v>
      </c>
      <c r="F406" s="3" t="s">
        <v>21</v>
      </c>
      <c r="G406" s="3" t="s">
        <v>651</v>
      </c>
      <c r="H406" s="4" t="s">
        <v>23</v>
      </c>
      <c r="I406" s="2">
        <v>44.0</v>
      </c>
      <c r="J406" s="2">
        <v>14818.0</v>
      </c>
      <c r="K406" s="3" t="s">
        <v>25</v>
      </c>
      <c r="L406" s="3" t="s">
        <v>25</v>
      </c>
      <c r="M406" s="4" t="s">
        <v>317</v>
      </c>
      <c r="N406" s="2">
        <v>13850.0</v>
      </c>
      <c r="O406" s="2">
        <v>15000.0</v>
      </c>
      <c r="P406" s="5">
        <v>41989.0</v>
      </c>
      <c r="Q406" s="3" t="s">
        <v>42</v>
      </c>
    </row>
    <row r="407" ht="22.5" customHeight="1">
      <c r="A407" s="2">
        <v>2013.0</v>
      </c>
      <c r="B407" s="3" t="s">
        <v>632</v>
      </c>
      <c r="C407" s="3" t="s">
        <v>636</v>
      </c>
      <c r="D407" s="4" t="s">
        <v>652</v>
      </c>
      <c r="E407" s="3" t="s">
        <v>20</v>
      </c>
      <c r="F407" s="3" t="s">
        <v>21</v>
      </c>
      <c r="G407" s="3" t="s">
        <v>653</v>
      </c>
      <c r="H407" s="4" t="s">
        <v>23</v>
      </c>
      <c r="I407" s="2">
        <v>36.0</v>
      </c>
      <c r="J407" s="2">
        <v>54715.0</v>
      </c>
      <c r="K407" s="3" t="s">
        <v>24</v>
      </c>
      <c r="L407" s="3" t="s">
        <v>25</v>
      </c>
      <c r="M407" s="4" t="s">
        <v>654</v>
      </c>
      <c r="N407" s="2">
        <v>9900.0</v>
      </c>
      <c r="O407" s="2">
        <v>10600.0</v>
      </c>
      <c r="P407" s="5">
        <v>41990.0</v>
      </c>
      <c r="Q407" s="3" t="s">
        <v>84</v>
      </c>
    </row>
    <row r="408" ht="22.5" customHeight="1">
      <c r="A408" s="2">
        <v>2013.0</v>
      </c>
      <c r="B408" s="3" t="s">
        <v>632</v>
      </c>
      <c r="C408" s="3" t="s">
        <v>645</v>
      </c>
      <c r="D408" s="4" t="s">
        <v>634</v>
      </c>
      <c r="E408" s="3" t="s">
        <v>30</v>
      </c>
      <c r="F408" s="3" t="s">
        <v>21</v>
      </c>
      <c r="G408" s="3" t="s">
        <v>655</v>
      </c>
      <c r="H408" s="4" t="s">
        <v>23</v>
      </c>
      <c r="I408" s="2">
        <v>45.0</v>
      </c>
      <c r="J408" s="2">
        <v>40884.0</v>
      </c>
      <c r="K408" s="3" t="s">
        <v>25</v>
      </c>
      <c r="L408" s="3" t="s">
        <v>25</v>
      </c>
      <c r="M408" s="4" t="s">
        <v>168</v>
      </c>
      <c r="N408" s="2">
        <v>18800.0</v>
      </c>
      <c r="O408" s="2">
        <v>19600.0</v>
      </c>
      <c r="P408" s="5">
        <v>41991.0</v>
      </c>
      <c r="Q408" s="3" t="s">
        <v>27</v>
      </c>
    </row>
    <row r="409" ht="22.5" customHeight="1">
      <c r="A409" s="2">
        <v>2013.0</v>
      </c>
      <c r="B409" s="3" t="s">
        <v>632</v>
      </c>
      <c r="C409" s="3" t="s">
        <v>633</v>
      </c>
      <c r="D409" s="4" t="s">
        <v>202</v>
      </c>
      <c r="E409" s="3" t="s">
        <v>215</v>
      </c>
      <c r="F409" s="3" t="s">
        <v>21</v>
      </c>
      <c r="G409" s="3" t="s">
        <v>656</v>
      </c>
      <c r="H409" s="4" t="s">
        <v>23</v>
      </c>
      <c r="I409" s="2">
        <v>2.0</v>
      </c>
      <c r="J409" s="2">
        <v>24252.0</v>
      </c>
      <c r="K409" s="3" t="s">
        <v>25</v>
      </c>
      <c r="L409" s="3" t="s">
        <v>25</v>
      </c>
      <c r="M409" s="4" t="s">
        <v>500</v>
      </c>
      <c r="N409" s="2">
        <v>9825.0</v>
      </c>
      <c r="O409" s="2">
        <v>9100.0</v>
      </c>
      <c r="P409" s="5">
        <v>41991.0</v>
      </c>
      <c r="Q409" s="3" t="s">
        <v>27</v>
      </c>
    </row>
    <row r="410" ht="22.5" customHeight="1">
      <c r="A410" s="2">
        <v>2013.0</v>
      </c>
      <c r="B410" s="3" t="s">
        <v>632</v>
      </c>
      <c r="C410" s="3" t="s">
        <v>640</v>
      </c>
      <c r="D410" s="4" t="s">
        <v>634</v>
      </c>
      <c r="E410" s="3" t="s">
        <v>641</v>
      </c>
      <c r="F410" s="3" t="s">
        <v>21</v>
      </c>
      <c r="G410" s="3" t="s">
        <v>657</v>
      </c>
      <c r="H410" s="4" t="s">
        <v>23</v>
      </c>
      <c r="I410" s="2">
        <v>39.0</v>
      </c>
      <c r="J410" s="2">
        <v>37664.0</v>
      </c>
      <c r="K410" s="3" t="s">
        <v>24</v>
      </c>
      <c r="L410" s="3" t="s">
        <v>25</v>
      </c>
      <c r="M410" s="4" t="s">
        <v>143</v>
      </c>
      <c r="N410" s="2">
        <v>11750.0</v>
      </c>
      <c r="O410" s="2">
        <v>13000.0</v>
      </c>
      <c r="P410" s="5">
        <v>41996.0</v>
      </c>
      <c r="Q410" s="3" t="s">
        <v>42</v>
      </c>
    </row>
    <row r="411" ht="22.5" customHeight="1">
      <c r="A411" s="2">
        <v>2013.0</v>
      </c>
      <c r="B411" s="3" t="s">
        <v>632</v>
      </c>
      <c r="C411" s="3" t="s">
        <v>640</v>
      </c>
      <c r="D411" s="4" t="s">
        <v>202</v>
      </c>
      <c r="E411" s="3" t="s">
        <v>641</v>
      </c>
      <c r="F411" s="3" t="s">
        <v>21</v>
      </c>
      <c r="G411" s="3" t="s">
        <v>658</v>
      </c>
      <c r="H411" s="4" t="s">
        <v>23</v>
      </c>
      <c r="I411" s="2">
        <v>35.0</v>
      </c>
      <c r="J411" s="2">
        <v>36898.0</v>
      </c>
      <c r="K411" s="3" t="s">
        <v>24</v>
      </c>
      <c r="L411" s="3" t="s">
        <v>230</v>
      </c>
      <c r="M411" s="4" t="s">
        <v>168</v>
      </c>
      <c r="N411" s="2">
        <v>12400.0</v>
      </c>
      <c r="O411" s="2">
        <v>13100.0</v>
      </c>
      <c r="P411" s="5">
        <v>41999.0</v>
      </c>
      <c r="Q411" s="3" t="s">
        <v>659</v>
      </c>
    </row>
    <row r="412" ht="22.5" customHeight="1">
      <c r="A412" s="2">
        <v>2013.0</v>
      </c>
      <c r="B412" s="3" t="s">
        <v>632</v>
      </c>
      <c r="C412" s="3" t="s">
        <v>645</v>
      </c>
      <c r="D412" s="4" t="s">
        <v>634</v>
      </c>
      <c r="E412" s="3" t="s">
        <v>30</v>
      </c>
      <c r="F412" s="3" t="s">
        <v>21</v>
      </c>
      <c r="G412" s="3" t="s">
        <v>660</v>
      </c>
      <c r="H412" s="4" t="s">
        <v>23</v>
      </c>
      <c r="I412" s="2">
        <v>38.0</v>
      </c>
      <c r="J412" s="2">
        <v>46733.0</v>
      </c>
      <c r="K412" s="3" t="s">
        <v>139</v>
      </c>
      <c r="L412" s="3" t="s">
        <v>25</v>
      </c>
      <c r="M412" s="4" t="s">
        <v>143</v>
      </c>
      <c r="N412" s="2">
        <v>19150.0</v>
      </c>
      <c r="O412" s="2">
        <v>20500.0</v>
      </c>
      <c r="P412" s="5">
        <v>42004.0</v>
      </c>
      <c r="Q412" s="3" t="s">
        <v>84</v>
      </c>
    </row>
    <row r="413" ht="22.5" customHeight="1">
      <c r="A413" s="2">
        <v>2013.0</v>
      </c>
      <c r="B413" s="3" t="s">
        <v>632</v>
      </c>
      <c r="C413" s="3" t="s">
        <v>645</v>
      </c>
      <c r="D413" s="4" t="s">
        <v>634</v>
      </c>
      <c r="E413" s="3" t="s">
        <v>30</v>
      </c>
      <c r="F413" s="3" t="s">
        <v>21</v>
      </c>
      <c r="G413" s="3" t="s">
        <v>661</v>
      </c>
      <c r="H413" s="4" t="s">
        <v>23</v>
      </c>
      <c r="I413" s="2">
        <v>36.0</v>
      </c>
      <c r="J413" s="2">
        <v>44289.0</v>
      </c>
      <c r="K413" s="3" t="s">
        <v>24</v>
      </c>
      <c r="L413" s="3" t="s">
        <v>25</v>
      </c>
      <c r="M413" s="4" t="s">
        <v>143</v>
      </c>
      <c r="N413" s="2">
        <v>19050.0</v>
      </c>
      <c r="O413" s="2">
        <v>20000.0</v>
      </c>
      <c r="P413" s="5">
        <v>42004.0</v>
      </c>
      <c r="Q413" s="3" t="s">
        <v>84</v>
      </c>
    </row>
    <row r="414" ht="22.5" customHeight="1">
      <c r="A414" s="2">
        <v>2013.0</v>
      </c>
      <c r="B414" s="3" t="s">
        <v>662</v>
      </c>
      <c r="C414" s="3" t="s">
        <v>663</v>
      </c>
      <c r="D414" s="4" t="s">
        <v>664</v>
      </c>
      <c r="E414" s="3" t="s">
        <v>20</v>
      </c>
      <c r="F414" s="3" t="s">
        <v>21</v>
      </c>
      <c r="G414" s="3" t="s">
        <v>665</v>
      </c>
      <c r="H414" s="4" t="s">
        <v>23</v>
      </c>
      <c r="I414" s="2">
        <v>43.0</v>
      </c>
      <c r="J414" s="2">
        <v>23615.0</v>
      </c>
      <c r="K414" s="3" t="s">
        <v>32</v>
      </c>
      <c r="L414" s="3" t="s">
        <v>25</v>
      </c>
      <c r="M414" s="4" t="s">
        <v>666</v>
      </c>
      <c r="N414" s="2">
        <v>22600.0</v>
      </c>
      <c r="O414" s="2">
        <v>22250.0</v>
      </c>
      <c r="P414" s="5">
        <v>41989.0</v>
      </c>
      <c r="Q414" s="3" t="s">
        <v>42</v>
      </c>
    </row>
    <row r="415" ht="22.5" customHeight="1">
      <c r="A415" s="2">
        <v>2013.0</v>
      </c>
      <c r="B415" s="3" t="s">
        <v>662</v>
      </c>
      <c r="C415" s="3" t="s">
        <v>663</v>
      </c>
      <c r="D415" s="4" t="s">
        <v>664</v>
      </c>
      <c r="E415" s="3" t="s">
        <v>20</v>
      </c>
      <c r="F415" s="3" t="s">
        <v>21</v>
      </c>
      <c r="G415" s="3" t="s">
        <v>667</v>
      </c>
      <c r="H415" s="4" t="s">
        <v>23</v>
      </c>
      <c r="I415" s="2">
        <v>43.0</v>
      </c>
      <c r="J415" s="2">
        <v>23941.0</v>
      </c>
      <c r="K415" s="3" t="s">
        <v>25</v>
      </c>
      <c r="L415" s="3" t="s">
        <v>24</v>
      </c>
      <c r="M415" s="4" t="s">
        <v>666</v>
      </c>
      <c r="N415" s="2">
        <v>22600.0</v>
      </c>
      <c r="O415" s="2">
        <v>21750.0</v>
      </c>
      <c r="P415" s="5">
        <v>41989.0</v>
      </c>
      <c r="Q415" s="3" t="s">
        <v>42</v>
      </c>
    </row>
    <row r="416" ht="22.5" customHeight="1">
      <c r="A416" s="2">
        <v>2013.0</v>
      </c>
      <c r="B416" s="3" t="s">
        <v>662</v>
      </c>
      <c r="C416" s="3" t="s">
        <v>668</v>
      </c>
      <c r="D416" s="4" t="s">
        <v>669</v>
      </c>
      <c r="E416" s="3" t="s">
        <v>30</v>
      </c>
      <c r="F416" s="3" t="s">
        <v>21</v>
      </c>
      <c r="G416" s="3" t="s">
        <v>670</v>
      </c>
      <c r="H416" s="4" t="s">
        <v>23</v>
      </c>
      <c r="I416" s="2">
        <v>34.0</v>
      </c>
      <c r="J416" s="2">
        <v>21052.0</v>
      </c>
      <c r="K416" s="3" t="s">
        <v>24</v>
      </c>
      <c r="L416" s="3" t="s">
        <v>25</v>
      </c>
      <c r="M416" s="4" t="s">
        <v>671</v>
      </c>
      <c r="N416" s="2">
        <v>29500.0</v>
      </c>
      <c r="O416" s="2">
        <v>25500.0</v>
      </c>
      <c r="P416" s="5">
        <v>41991.0</v>
      </c>
      <c r="Q416" s="3" t="s">
        <v>27</v>
      </c>
    </row>
    <row r="417" ht="22.5" customHeight="1">
      <c r="A417" s="2">
        <v>2013.0</v>
      </c>
      <c r="B417" s="3" t="s">
        <v>662</v>
      </c>
      <c r="C417" s="3" t="s">
        <v>672</v>
      </c>
      <c r="D417" s="4" t="s">
        <v>673</v>
      </c>
      <c r="E417" s="3" t="s">
        <v>30</v>
      </c>
      <c r="F417" s="3" t="s">
        <v>21</v>
      </c>
      <c r="G417" s="3" t="s">
        <v>674</v>
      </c>
      <c r="H417" s="4" t="s">
        <v>23</v>
      </c>
      <c r="I417" s="2">
        <v>42.0</v>
      </c>
      <c r="J417" s="2">
        <v>26853.0</v>
      </c>
      <c r="K417" s="3" t="s">
        <v>24</v>
      </c>
      <c r="L417" s="3" t="s">
        <v>25</v>
      </c>
      <c r="M417" s="4" t="s">
        <v>671</v>
      </c>
      <c r="N417" s="2">
        <v>46200.0</v>
      </c>
      <c r="O417" s="2">
        <v>48000.0</v>
      </c>
      <c r="P417" s="5">
        <v>41991.0</v>
      </c>
      <c r="Q417" s="3" t="s">
        <v>27</v>
      </c>
    </row>
    <row r="418" ht="22.5" customHeight="1">
      <c r="A418" s="2">
        <v>2013.0</v>
      </c>
      <c r="B418" s="3" t="s">
        <v>662</v>
      </c>
      <c r="C418" s="3" t="s">
        <v>672</v>
      </c>
      <c r="D418" s="4" t="s">
        <v>673</v>
      </c>
      <c r="E418" s="3" t="s">
        <v>30</v>
      </c>
      <c r="F418" s="3" t="s">
        <v>21</v>
      </c>
      <c r="G418" s="3" t="s">
        <v>675</v>
      </c>
      <c r="H418" s="4" t="s">
        <v>23</v>
      </c>
      <c r="I418" s="2">
        <v>43.0</v>
      </c>
      <c r="J418" s="2">
        <v>16584.0</v>
      </c>
      <c r="K418" s="3" t="s">
        <v>36</v>
      </c>
      <c r="L418" s="3" t="s">
        <v>25</v>
      </c>
      <c r="M418" s="4" t="s">
        <v>671</v>
      </c>
      <c r="N418" s="2">
        <v>47300.0</v>
      </c>
      <c r="O418" s="2">
        <v>46750.0</v>
      </c>
      <c r="P418" s="5">
        <v>41991.0</v>
      </c>
      <c r="Q418" s="3" t="s">
        <v>27</v>
      </c>
    </row>
    <row r="419" ht="22.5" customHeight="1">
      <c r="A419" s="2">
        <v>2013.0</v>
      </c>
      <c r="B419" s="3" t="s">
        <v>662</v>
      </c>
      <c r="C419" s="3" t="s">
        <v>676</v>
      </c>
      <c r="D419" s="4" t="s">
        <v>677</v>
      </c>
      <c r="E419" s="3" t="s">
        <v>20</v>
      </c>
      <c r="F419" s="3" t="s">
        <v>21</v>
      </c>
      <c r="G419" s="3" t="s">
        <v>678</v>
      </c>
      <c r="H419" s="4" t="s">
        <v>23</v>
      </c>
      <c r="I419" s="2">
        <v>44.0</v>
      </c>
      <c r="J419" s="2">
        <v>10862.0</v>
      </c>
      <c r="K419" s="3" t="s">
        <v>25</v>
      </c>
      <c r="L419" s="3" t="s">
        <v>25</v>
      </c>
      <c r="M419" s="4" t="s">
        <v>51</v>
      </c>
      <c r="N419" s="2">
        <v>57200.0</v>
      </c>
      <c r="O419" s="2">
        <v>57250.0</v>
      </c>
      <c r="P419" s="5">
        <v>41991.0</v>
      </c>
      <c r="Q419" s="3" t="s">
        <v>27</v>
      </c>
    </row>
    <row r="420" ht="22.5" customHeight="1">
      <c r="A420" s="2">
        <v>2013.0</v>
      </c>
      <c r="B420" s="3" t="s">
        <v>662</v>
      </c>
      <c r="C420" s="3" t="s">
        <v>663</v>
      </c>
      <c r="D420" s="4" t="s">
        <v>664</v>
      </c>
      <c r="E420" s="3" t="s">
        <v>20</v>
      </c>
      <c r="F420" s="3" t="s">
        <v>21</v>
      </c>
      <c r="G420" s="3" t="s">
        <v>679</v>
      </c>
      <c r="H420" s="4" t="s">
        <v>23</v>
      </c>
      <c r="I420" s="2">
        <v>45.0</v>
      </c>
      <c r="J420" s="2">
        <v>20161.0</v>
      </c>
      <c r="K420" s="3" t="s">
        <v>32</v>
      </c>
      <c r="L420" s="3" t="s">
        <v>25</v>
      </c>
      <c r="M420" s="4" t="s">
        <v>680</v>
      </c>
      <c r="N420" s="2">
        <v>23100.0</v>
      </c>
      <c r="O420" s="2">
        <v>25000.0</v>
      </c>
      <c r="P420" s="5">
        <v>41991.0</v>
      </c>
      <c r="Q420" s="3" t="s">
        <v>27</v>
      </c>
    </row>
    <row r="421" ht="22.5" customHeight="1">
      <c r="A421" s="2">
        <v>2013.0</v>
      </c>
      <c r="B421" s="3" t="s">
        <v>662</v>
      </c>
      <c r="C421" s="3" t="s">
        <v>676</v>
      </c>
      <c r="D421" s="4" t="s">
        <v>677</v>
      </c>
      <c r="E421" s="3" t="s">
        <v>20</v>
      </c>
      <c r="F421" s="3" t="s">
        <v>21</v>
      </c>
      <c r="G421" s="3" t="s">
        <v>681</v>
      </c>
      <c r="H421" s="4" t="s">
        <v>23</v>
      </c>
      <c r="I421" s="2">
        <v>36.0</v>
      </c>
      <c r="J421" s="2">
        <v>24168.0</v>
      </c>
      <c r="K421" s="3" t="s">
        <v>25</v>
      </c>
      <c r="L421" s="3" t="s">
        <v>25</v>
      </c>
      <c r="M421" s="4" t="s">
        <v>680</v>
      </c>
      <c r="N421" s="2">
        <v>55300.0</v>
      </c>
      <c r="O421" s="2">
        <v>56250.0</v>
      </c>
      <c r="P421" s="5">
        <v>41991.0</v>
      </c>
      <c r="Q421" s="3" t="s">
        <v>27</v>
      </c>
    </row>
    <row r="422" ht="22.5" customHeight="1">
      <c r="A422" s="2">
        <v>2013.0</v>
      </c>
      <c r="B422" s="3" t="s">
        <v>662</v>
      </c>
      <c r="C422" s="3" t="s">
        <v>682</v>
      </c>
      <c r="D422" s="4" t="s">
        <v>683</v>
      </c>
      <c r="E422" s="3" t="s">
        <v>30</v>
      </c>
      <c r="F422" s="3" t="s">
        <v>21</v>
      </c>
      <c r="G422" s="3" t="s">
        <v>684</v>
      </c>
      <c r="H422" s="4" t="s">
        <v>23</v>
      </c>
      <c r="I422" s="2">
        <v>5.0</v>
      </c>
      <c r="J422" s="2">
        <v>6536.0</v>
      </c>
      <c r="K422" s="3" t="s">
        <v>36</v>
      </c>
      <c r="L422" s="3" t="s">
        <v>25</v>
      </c>
      <c r="M422" s="4" t="s">
        <v>685</v>
      </c>
      <c r="N422" s="2">
        <v>40400.0</v>
      </c>
      <c r="O422" s="2">
        <v>42750.0</v>
      </c>
      <c r="P422" s="5">
        <v>41991.0</v>
      </c>
      <c r="Q422" s="3" t="s">
        <v>27</v>
      </c>
    </row>
    <row r="423" ht="22.5" customHeight="1">
      <c r="A423" s="2">
        <v>2013.0</v>
      </c>
      <c r="B423" s="3" t="s">
        <v>662</v>
      </c>
      <c r="C423" s="3" t="s">
        <v>676</v>
      </c>
      <c r="D423" s="4" t="s">
        <v>677</v>
      </c>
      <c r="E423" s="3" t="s">
        <v>20</v>
      </c>
      <c r="F423" s="3" t="s">
        <v>21</v>
      </c>
      <c r="G423" s="3" t="s">
        <v>686</v>
      </c>
      <c r="H423" s="4" t="s">
        <v>23</v>
      </c>
      <c r="I423" s="2">
        <v>35.0</v>
      </c>
      <c r="J423" s="2">
        <v>38407.0</v>
      </c>
      <c r="K423" s="3" t="s">
        <v>25</v>
      </c>
      <c r="L423" s="3" t="s">
        <v>25</v>
      </c>
      <c r="M423" s="4" t="s">
        <v>687</v>
      </c>
      <c r="N423" s="2">
        <v>53300.0</v>
      </c>
      <c r="O423" s="2">
        <v>54000.0</v>
      </c>
      <c r="P423" s="5">
        <v>41991.0</v>
      </c>
      <c r="Q423" s="3" t="s">
        <v>27</v>
      </c>
    </row>
    <row r="424" ht="22.5" customHeight="1">
      <c r="A424" s="2">
        <v>2013.0</v>
      </c>
      <c r="B424" s="3" t="s">
        <v>662</v>
      </c>
      <c r="C424" s="3" t="s">
        <v>663</v>
      </c>
      <c r="D424" s="4" t="s">
        <v>664</v>
      </c>
      <c r="E424" s="3" t="s">
        <v>20</v>
      </c>
      <c r="F424" s="3" t="s">
        <v>21</v>
      </c>
      <c r="G424" s="3" t="s">
        <v>688</v>
      </c>
      <c r="H424" s="4" t="s">
        <v>23</v>
      </c>
      <c r="I424" s="2">
        <v>43.0</v>
      </c>
      <c r="J424" s="2">
        <v>22984.0</v>
      </c>
      <c r="K424" s="3" t="s">
        <v>32</v>
      </c>
      <c r="L424" s="3" t="s">
        <v>25</v>
      </c>
      <c r="M424" s="4" t="s">
        <v>680</v>
      </c>
      <c r="N424" s="2">
        <v>22800.0</v>
      </c>
      <c r="O424" s="2">
        <v>21750.0</v>
      </c>
      <c r="P424" s="5">
        <v>41991.0</v>
      </c>
      <c r="Q424" s="3" t="s">
        <v>27</v>
      </c>
    </row>
    <row r="425" ht="22.5" customHeight="1">
      <c r="A425" s="2">
        <v>2013.0</v>
      </c>
      <c r="B425" s="3" t="s">
        <v>662</v>
      </c>
      <c r="C425" s="3" t="s">
        <v>689</v>
      </c>
      <c r="D425" s="4" t="s">
        <v>690</v>
      </c>
      <c r="E425" s="3" t="s">
        <v>20</v>
      </c>
      <c r="F425" s="3" t="s">
        <v>21</v>
      </c>
      <c r="G425" s="3" t="s">
        <v>691</v>
      </c>
      <c r="H425" s="4" t="s">
        <v>23</v>
      </c>
      <c r="I425" s="2">
        <v>47.0</v>
      </c>
      <c r="J425" s="2">
        <v>31064.0</v>
      </c>
      <c r="K425" s="3" t="s">
        <v>24</v>
      </c>
      <c r="L425" s="3" t="s">
        <v>25</v>
      </c>
      <c r="M425" s="4" t="s">
        <v>680</v>
      </c>
      <c r="N425" s="2">
        <v>31000.0</v>
      </c>
      <c r="O425" s="2">
        <v>30750.0</v>
      </c>
      <c r="P425" s="5">
        <v>41991.0</v>
      </c>
      <c r="Q425" s="3" t="s">
        <v>27</v>
      </c>
    </row>
    <row r="426" ht="22.5" customHeight="1">
      <c r="A426" s="2">
        <v>2013.0</v>
      </c>
      <c r="B426" s="3" t="s">
        <v>662</v>
      </c>
      <c r="C426" s="3" t="s">
        <v>689</v>
      </c>
      <c r="D426" s="4" t="s">
        <v>692</v>
      </c>
      <c r="E426" s="3" t="s">
        <v>49</v>
      </c>
      <c r="F426" s="3" t="s">
        <v>21</v>
      </c>
      <c r="G426" s="3" t="s">
        <v>693</v>
      </c>
      <c r="H426" s="4" t="s">
        <v>23</v>
      </c>
      <c r="I426" s="2">
        <v>45.0</v>
      </c>
      <c r="J426" s="2">
        <v>19538.0</v>
      </c>
      <c r="K426" s="3" t="s">
        <v>32</v>
      </c>
      <c r="L426" s="3" t="s">
        <v>24</v>
      </c>
      <c r="M426" s="4" t="s">
        <v>680</v>
      </c>
      <c r="N426" s="2">
        <v>33200.0</v>
      </c>
      <c r="O426" s="2">
        <v>32250.0</v>
      </c>
      <c r="P426" s="5">
        <v>41991.0</v>
      </c>
      <c r="Q426" s="3" t="s">
        <v>27</v>
      </c>
    </row>
    <row r="427" ht="22.5" customHeight="1">
      <c r="A427" s="2">
        <v>2013.0</v>
      </c>
      <c r="B427" s="3" t="s">
        <v>662</v>
      </c>
      <c r="C427" s="3" t="s">
        <v>689</v>
      </c>
      <c r="D427" s="4" t="s">
        <v>690</v>
      </c>
      <c r="E427" s="3" t="s">
        <v>20</v>
      </c>
      <c r="F427" s="3" t="s">
        <v>21</v>
      </c>
      <c r="G427" s="3" t="s">
        <v>694</v>
      </c>
      <c r="H427" s="4" t="s">
        <v>23</v>
      </c>
      <c r="I427" s="2">
        <v>47.0</v>
      </c>
      <c r="J427" s="2">
        <v>10616.0</v>
      </c>
      <c r="K427" s="3" t="s">
        <v>32</v>
      </c>
      <c r="L427" s="3" t="s">
        <v>25</v>
      </c>
      <c r="M427" s="4" t="s">
        <v>680</v>
      </c>
      <c r="N427" s="2">
        <v>34700.0</v>
      </c>
      <c r="O427" s="2">
        <v>34750.0</v>
      </c>
      <c r="P427" s="5">
        <v>41991.0</v>
      </c>
      <c r="Q427" s="3" t="s">
        <v>27</v>
      </c>
    </row>
    <row r="428" ht="22.5" customHeight="1">
      <c r="A428" s="2">
        <v>2013.0</v>
      </c>
      <c r="B428" s="3" t="s">
        <v>662</v>
      </c>
      <c r="C428" s="3" t="s">
        <v>663</v>
      </c>
      <c r="D428" s="4" t="s">
        <v>664</v>
      </c>
      <c r="E428" s="3" t="s">
        <v>20</v>
      </c>
      <c r="F428" s="3" t="s">
        <v>21</v>
      </c>
      <c r="G428" s="3" t="s">
        <v>695</v>
      </c>
      <c r="H428" s="4" t="s">
        <v>23</v>
      </c>
      <c r="I428" s="2">
        <v>28.0</v>
      </c>
      <c r="J428" s="2">
        <v>31978.0</v>
      </c>
      <c r="K428" s="3" t="s">
        <v>25</v>
      </c>
      <c r="L428" s="3" t="s">
        <v>25</v>
      </c>
      <c r="M428" s="4" t="s">
        <v>83</v>
      </c>
      <c r="N428" s="2">
        <v>22000.0</v>
      </c>
      <c r="O428" s="2">
        <v>21000.0</v>
      </c>
      <c r="P428" s="5">
        <v>42003.0</v>
      </c>
      <c r="Q428" s="3" t="s">
        <v>42</v>
      </c>
    </row>
    <row r="429" ht="22.5" customHeight="1">
      <c r="A429" s="2">
        <v>2013.0</v>
      </c>
      <c r="B429" s="3" t="s">
        <v>662</v>
      </c>
      <c r="C429" s="3" t="s">
        <v>689</v>
      </c>
      <c r="D429" s="4" t="s">
        <v>690</v>
      </c>
      <c r="E429" s="3" t="s">
        <v>20</v>
      </c>
      <c r="F429" s="3" t="s">
        <v>21</v>
      </c>
      <c r="G429" s="3" t="s">
        <v>696</v>
      </c>
      <c r="H429" s="4" t="s">
        <v>23</v>
      </c>
      <c r="I429" s="2">
        <v>25.0</v>
      </c>
      <c r="J429" s="2">
        <v>4995.0</v>
      </c>
      <c r="K429" s="3" t="s">
        <v>25</v>
      </c>
      <c r="L429" s="3" t="s">
        <v>25</v>
      </c>
      <c r="M429" s="4" t="s">
        <v>671</v>
      </c>
      <c r="N429" s="2">
        <v>35400.0</v>
      </c>
      <c r="O429" s="2">
        <v>31750.0</v>
      </c>
      <c r="P429" s="5">
        <v>42019.0</v>
      </c>
      <c r="Q429" s="3" t="s">
        <v>27</v>
      </c>
    </row>
    <row r="430" ht="22.5" customHeight="1">
      <c r="A430" s="2">
        <v>2013.0</v>
      </c>
      <c r="B430" s="3" t="s">
        <v>662</v>
      </c>
      <c r="C430" s="3" t="s">
        <v>663</v>
      </c>
      <c r="D430" s="4" t="s">
        <v>697</v>
      </c>
      <c r="E430" s="3" t="s">
        <v>49</v>
      </c>
      <c r="F430" s="3" t="s">
        <v>21</v>
      </c>
      <c r="G430" s="3" t="s">
        <v>698</v>
      </c>
      <c r="H430" s="4" t="s">
        <v>23</v>
      </c>
      <c r="I430" s="2">
        <v>35.0</v>
      </c>
      <c r="J430" s="2">
        <v>10782.0</v>
      </c>
      <c r="K430" s="3" t="s">
        <v>24</v>
      </c>
      <c r="L430" s="3" t="s">
        <v>25</v>
      </c>
      <c r="M430" s="4" t="s">
        <v>680</v>
      </c>
      <c r="N430" s="2">
        <v>26000.0</v>
      </c>
      <c r="O430" s="2">
        <v>26000.0</v>
      </c>
      <c r="P430" s="5">
        <v>42019.0</v>
      </c>
      <c r="Q430" s="3" t="s">
        <v>27</v>
      </c>
    </row>
    <row r="431" ht="22.5" customHeight="1">
      <c r="A431" s="2">
        <v>2013.0</v>
      </c>
      <c r="B431" s="3" t="s">
        <v>662</v>
      </c>
      <c r="C431" s="3" t="s">
        <v>663</v>
      </c>
      <c r="D431" s="4" t="s">
        <v>697</v>
      </c>
      <c r="E431" s="3" t="s">
        <v>49</v>
      </c>
      <c r="F431" s="3" t="s">
        <v>21</v>
      </c>
      <c r="G431" s="3" t="s">
        <v>699</v>
      </c>
      <c r="H431" s="4" t="s">
        <v>23</v>
      </c>
      <c r="I431" s="2">
        <v>37.0</v>
      </c>
      <c r="J431" s="2">
        <v>18960.0</v>
      </c>
      <c r="K431" s="3" t="s">
        <v>25</v>
      </c>
      <c r="L431" s="3" t="s">
        <v>181</v>
      </c>
      <c r="M431" s="4" t="s">
        <v>680</v>
      </c>
      <c r="N431" s="2">
        <v>25300.0</v>
      </c>
      <c r="O431" s="2">
        <v>22750.0</v>
      </c>
      <c r="P431" s="5">
        <v>42019.0</v>
      </c>
      <c r="Q431" s="3" t="s">
        <v>27</v>
      </c>
    </row>
    <row r="432" ht="22.5" customHeight="1">
      <c r="A432" s="2">
        <v>2013.0</v>
      </c>
      <c r="B432" s="3" t="s">
        <v>662</v>
      </c>
      <c r="C432" s="3" t="s">
        <v>663</v>
      </c>
      <c r="D432" s="4" t="s">
        <v>697</v>
      </c>
      <c r="E432" s="3" t="s">
        <v>49</v>
      </c>
      <c r="F432" s="3" t="s">
        <v>21</v>
      </c>
      <c r="G432" s="3" t="s">
        <v>700</v>
      </c>
      <c r="H432" s="4" t="s">
        <v>23</v>
      </c>
      <c r="I432" s="2">
        <v>41.0</v>
      </c>
      <c r="J432" s="2">
        <v>19780.0</v>
      </c>
      <c r="K432" s="3" t="s">
        <v>25</v>
      </c>
      <c r="L432" s="3" t="s">
        <v>25</v>
      </c>
      <c r="M432" s="4" t="s">
        <v>680</v>
      </c>
      <c r="N432" s="2">
        <v>25300.0</v>
      </c>
      <c r="O432" s="2">
        <v>23750.0</v>
      </c>
      <c r="P432" s="5">
        <v>42019.0</v>
      </c>
      <c r="Q432" s="3" t="s">
        <v>27</v>
      </c>
    </row>
    <row r="433" ht="22.5" customHeight="1">
      <c r="A433" s="2">
        <v>2013.0</v>
      </c>
      <c r="B433" s="3" t="s">
        <v>662</v>
      </c>
      <c r="C433" s="3" t="s">
        <v>676</v>
      </c>
      <c r="D433" s="4" t="s">
        <v>677</v>
      </c>
      <c r="E433" s="3" t="s">
        <v>20</v>
      </c>
      <c r="F433" s="3" t="s">
        <v>21</v>
      </c>
      <c r="G433" s="3" t="s">
        <v>701</v>
      </c>
      <c r="H433" s="4" t="s">
        <v>23</v>
      </c>
      <c r="I433" s="2">
        <v>41.0</v>
      </c>
      <c r="J433" s="2">
        <v>33776.0</v>
      </c>
      <c r="K433" s="3" t="s">
        <v>25</v>
      </c>
      <c r="L433" s="3" t="s">
        <v>25</v>
      </c>
      <c r="M433" s="4" t="s">
        <v>680</v>
      </c>
      <c r="N433" s="2">
        <v>49500.0</v>
      </c>
      <c r="O433" s="2">
        <v>46500.0</v>
      </c>
      <c r="P433" s="5">
        <v>42019.0</v>
      </c>
      <c r="Q433" s="3" t="s">
        <v>27</v>
      </c>
    </row>
    <row r="434" ht="22.5" customHeight="1">
      <c r="A434" s="2">
        <v>2013.0</v>
      </c>
      <c r="B434" s="3" t="s">
        <v>662</v>
      </c>
      <c r="C434" s="3" t="s">
        <v>663</v>
      </c>
      <c r="D434" s="4" t="s">
        <v>697</v>
      </c>
      <c r="E434" s="3" t="s">
        <v>49</v>
      </c>
      <c r="F434" s="3" t="s">
        <v>21</v>
      </c>
      <c r="G434" s="3" t="s">
        <v>702</v>
      </c>
      <c r="H434" s="4" t="s">
        <v>23</v>
      </c>
      <c r="I434" s="2">
        <v>37.0</v>
      </c>
      <c r="J434" s="2">
        <v>23783.0</v>
      </c>
      <c r="K434" s="3" t="s">
        <v>25</v>
      </c>
      <c r="L434" s="3" t="s">
        <v>230</v>
      </c>
      <c r="M434" s="4" t="s">
        <v>680</v>
      </c>
      <c r="N434" s="2">
        <v>24900.0</v>
      </c>
      <c r="O434" s="2">
        <v>22500.0</v>
      </c>
      <c r="P434" s="5">
        <v>42019.0</v>
      </c>
      <c r="Q434" s="3" t="s">
        <v>27</v>
      </c>
    </row>
    <row r="435" ht="22.5" customHeight="1">
      <c r="A435" s="2">
        <v>2013.0</v>
      </c>
      <c r="B435" s="3" t="s">
        <v>662</v>
      </c>
      <c r="C435" s="3" t="s">
        <v>676</v>
      </c>
      <c r="D435" s="4" t="s">
        <v>677</v>
      </c>
      <c r="E435" s="3" t="s">
        <v>20</v>
      </c>
      <c r="F435" s="3" t="s">
        <v>21</v>
      </c>
      <c r="G435" s="3" t="s">
        <v>703</v>
      </c>
      <c r="H435" s="4" t="s">
        <v>23</v>
      </c>
      <c r="I435" s="2">
        <v>36.0</v>
      </c>
      <c r="J435" s="2">
        <v>4811.0</v>
      </c>
      <c r="K435" s="3" t="s">
        <v>25</v>
      </c>
      <c r="L435" s="3" t="s">
        <v>25</v>
      </c>
      <c r="M435" s="4" t="s">
        <v>680</v>
      </c>
      <c r="N435" s="2">
        <v>55100.0</v>
      </c>
      <c r="O435" s="2">
        <v>45500.0</v>
      </c>
      <c r="P435" s="5">
        <v>42033.0</v>
      </c>
      <c r="Q435" s="3" t="s">
        <v>27</v>
      </c>
    </row>
    <row r="436" ht="22.5" customHeight="1">
      <c r="A436" s="2">
        <v>2013.0</v>
      </c>
      <c r="B436" s="3" t="s">
        <v>662</v>
      </c>
      <c r="C436" s="3" t="s">
        <v>676</v>
      </c>
      <c r="D436" s="4" t="s">
        <v>677</v>
      </c>
      <c r="E436" s="3" t="s">
        <v>20</v>
      </c>
      <c r="F436" s="3" t="s">
        <v>21</v>
      </c>
      <c r="G436" s="3" t="s">
        <v>704</v>
      </c>
      <c r="H436" s="4" t="s">
        <v>23</v>
      </c>
      <c r="I436" s="2">
        <v>44.0</v>
      </c>
      <c r="J436" s="2">
        <v>14557.0</v>
      </c>
      <c r="K436" s="3" t="s">
        <v>25</v>
      </c>
      <c r="L436" s="3" t="s">
        <v>25</v>
      </c>
      <c r="M436" s="4" t="s">
        <v>680</v>
      </c>
      <c r="N436" s="2">
        <v>53000.0</v>
      </c>
      <c r="O436" s="2">
        <v>51500.0</v>
      </c>
      <c r="P436" s="5">
        <v>42033.0</v>
      </c>
      <c r="Q436" s="3" t="s">
        <v>27</v>
      </c>
    </row>
    <row r="437" ht="22.5" customHeight="1">
      <c r="A437" s="2">
        <v>2013.0</v>
      </c>
      <c r="B437" s="3" t="s">
        <v>662</v>
      </c>
      <c r="C437" s="3" t="s">
        <v>676</v>
      </c>
      <c r="D437" s="4" t="s">
        <v>677</v>
      </c>
      <c r="E437" s="3" t="s">
        <v>20</v>
      </c>
      <c r="F437" s="3" t="s">
        <v>21</v>
      </c>
      <c r="G437" s="3" t="s">
        <v>705</v>
      </c>
      <c r="H437" s="4" t="s">
        <v>23</v>
      </c>
      <c r="I437" s="2">
        <v>42.0</v>
      </c>
      <c r="J437" s="2">
        <v>38691.0</v>
      </c>
      <c r="K437" s="3" t="s">
        <v>25</v>
      </c>
      <c r="L437" s="3" t="s">
        <v>25</v>
      </c>
      <c r="M437" s="4" t="s">
        <v>680</v>
      </c>
      <c r="N437" s="2">
        <v>47900.0</v>
      </c>
      <c r="O437" s="2">
        <v>48000.0</v>
      </c>
      <c r="P437" s="5">
        <v>42033.0</v>
      </c>
      <c r="Q437" s="3" t="s">
        <v>27</v>
      </c>
    </row>
    <row r="438" ht="22.5" customHeight="1">
      <c r="A438" s="2">
        <v>2013.0</v>
      </c>
      <c r="B438" s="3" t="s">
        <v>706</v>
      </c>
      <c r="C438" s="3" t="s">
        <v>707</v>
      </c>
      <c r="D438" s="4" t="s">
        <v>34</v>
      </c>
      <c r="E438" s="3" t="s">
        <v>215</v>
      </c>
      <c r="F438" s="3" t="s">
        <v>21</v>
      </c>
      <c r="G438" s="3" t="s">
        <v>708</v>
      </c>
      <c r="H438" s="4" t="s">
        <v>23</v>
      </c>
      <c r="I438" s="2">
        <v>37.0</v>
      </c>
      <c r="J438" s="2">
        <v>36498.0</v>
      </c>
      <c r="K438" s="3" t="s">
        <v>316</v>
      </c>
      <c r="L438" s="3" t="s">
        <v>181</v>
      </c>
      <c r="M438" s="4" t="s">
        <v>143</v>
      </c>
      <c r="N438" s="2">
        <v>13550.0</v>
      </c>
      <c r="O438" s="2">
        <v>13600.0</v>
      </c>
      <c r="P438" s="5">
        <v>41990.0</v>
      </c>
      <c r="Q438" s="3" t="s">
        <v>84</v>
      </c>
    </row>
    <row r="439" ht="22.5" customHeight="1">
      <c r="A439" s="2">
        <v>2013.0</v>
      </c>
      <c r="B439" s="3" t="s">
        <v>706</v>
      </c>
      <c r="C439" s="3" t="s">
        <v>709</v>
      </c>
      <c r="D439" s="4" t="s">
        <v>34</v>
      </c>
      <c r="E439" s="3" t="s">
        <v>215</v>
      </c>
      <c r="F439" s="3" t="s">
        <v>21</v>
      </c>
      <c r="G439" s="3" t="s">
        <v>710</v>
      </c>
      <c r="H439" s="4" t="s">
        <v>23</v>
      </c>
      <c r="I439" s="2">
        <v>35.0</v>
      </c>
      <c r="J439" s="2">
        <v>36000.0</v>
      </c>
      <c r="K439" s="3" t="s">
        <v>316</v>
      </c>
      <c r="L439" s="3" t="s">
        <v>25</v>
      </c>
      <c r="M439" s="4" t="s">
        <v>143</v>
      </c>
      <c r="N439" s="2">
        <v>12750.0</v>
      </c>
      <c r="O439" s="2">
        <v>13700.0</v>
      </c>
      <c r="P439" s="5">
        <v>41990.0</v>
      </c>
      <c r="Q439" s="3" t="s">
        <v>84</v>
      </c>
    </row>
    <row r="440" ht="22.5" customHeight="1">
      <c r="A440" s="2">
        <v>2013.0</v>
      </c>
      <c r="B440" s="3" t="s">
        <v>706</v>
      </c>
      <c r="C440" s="3" t="s">
        <v>707</v>
      </c>
      <c r="D440" s="4" t="s">
        <v>34</v>
      </c>
      <c r="E440" s="3" t="s">
        <v>215</v>
      </c>
      <c r="F440" s="3" t="s">
        <v>21</v>
      </c>
      <c r="G440" s="3" t="s">
        <v>711</v>
      </c>
      <c r="H440" s="4" t="s">
        <v>23</v>
      </c>
      <c r="I440" s="2">
        <v>38.0</v>
      </c>
      <c r="J440" s="2">
        <v>36764.0</v>
      </c>
      <c r="K440" s="3" t="s">
        <v>32</v>
      </c>
      <c r="L440" s="3" t="s">
        <v>25</v>
      </c>
      <c r="M440" s="4" t="s">
        <v>143</v>
      </c>
      <c r="N440" s="2">
        <v>13500.0</v>
      </c>
      <c r="O440" s="2">
        <v>14000.0</v>
      </c>
      <c r="P440" s="5">
        <v>41990.0</v>
      </c>
      <c r="Q440" s="3" t="s">
        <v>84</v>
      </c>
    </row>
    <row r="441" ht="22.5" customHeight="1">
      <c r="A441" s="2">
        <v>2013.0</v>
      </c>
      <c r="B441" s="3" t="s">
        <v>706</v>
      </c>
      <c r="C441" s="3" t="s">
        <v>709</v>
      </c>
      <c r="D441" s="4" t="s">
        <v>34</v>
      </c>
      <c r="E441" s="3" t="s">
        <v>215</v>
      </c>
      <c r="F441" s="3" t="s">
        <v>21</v>
      </c>
      <c r="G441" s="3" t="s">
        <v>712</v>
      </c>
      <c r="H441" s="4" t="s">
        <v>23</v>
      </c>
      <c r="I441" s="2">
        <v>39.0</v>
      </c>
      <c r="J441" s="2">
        <v>42973.0</v>
      </c>
      <c r="K441" s="3" t="s">
        <v>139</v>
      </c>
      <c r="L441" s="3" t="s">
        <v>25</v>
      </c>
      <c r="M441" s="4" t="s">
        <v>143</v>
      </c>
      <c r="N441" s="2">
        <v>12400.0</v>
      </c>
      <c r="O441" s="2">
        <v>12500.0</v>
      </c>
      <c r="P441" s="5">
        <v>41996.0</v>
      </c>
      <c r="Q441" s="3" t="s">
        <v>42</v>
      </c>
    </row>
    <row r="442" ht="22.5" customHeight="1">
      <c r="A442" s="2">
        <v>2013.0</v>
      </c>
      <c r="B442" s="3" t="s">
        <v>706</v>
      </c>
      <c r="C442" s="3" t="s">
        <v>713</v>
      </c>
      <c r="D442" s="4" t="s">
        <v>34</v>
      </c>
      <c r="E442" s="3" t="s">
        <v>515</v>
      </c>
      <c r="F442" s="3" t="s">
        <v>21</v>
      </c>
      <c r="G442" s="3" t="s">
        <v>714</v>
      </c>
      <c r="H442" s="4" t="s">
        <v>23</v>
      </c>
      <c r="I442" s="2">
        <v>39.0</v>
      </c>
      <c r="J442" s="2">
        <v>41357.0</v>
      </c>
      <c r="K442" s="3" t="s">
        <v>36</v>
      </c>
      <c r="L442" s="3" t="s">
        <v>25</v>
      </c>
      <c r="M442" s="4" t="s">
        <v>143</v>
      </c>
      <c r="N442" s="2">
        <v>16300.0</v>
      </c>
      <c r="O442" s="2">
        <v>16500.0</v>
      </c>
      <c r="P442" s="5">
        <v>42004.0</v>
      </c>
      <c r="Q442" s="3" t="s">
        <v>84</v>
      </c>
    </row>
    <row r="443" ht="22.5" customHeight="1">
      <c r="A443" s="2">
        <v>2013.0</v>
      </c>
      <c r="B443" s="3" t="s">
        <v>715</v>
      </c>
      <c r="C443" s="3" t="s">
        <v>716</v>
      </c>
      <c r="D443" s="4" t="s">
        <v>717</v>
      </c>
      <c r="E443" s="3" t="s">
        <v>30</v>
      </c>
      <c r="F443" s="3" t="s">
        <v>21</v>
      </c>
      <c r="G443" s="3" t="s">
        <v>718</v>
      </c>
      <c r="H443" s="4" t="s">
        <v>23</v>
      </c>
      <c r="I443" s="2">
        <v>27.0</v>
      </c>
      <c r="J443" s="2">
        <v>37713.0</v>
      </c>
      <c r="K443" s="3" t="s">
        <v>167</v>
      </c>
      <c r="L443" s="3" t="s">
        <v>25</v>
      </c>
      <c r="M443" s="4" t="s">
        <v>143</v>
      </c>
      <c r="N443" s="2">
        <v>15650.0</v>
      </c>
      <c r="O443" s="2">
        <v>14000.0</v>
      </c>
      <c r="P443" s="5">
        <v>41990.0</v>
      </c>
      <c r="Q443" s="3" t="s">
        <v>84</v>
      </c>
    </row>
    <row r="444" ht="22.5" customHeight="1">
      <c r="A444" s="2">
        <v>2013.0</v>
      </c>
      <c r="B444" s="3" t="s">
        <v>715</v>
      </c>
      <c r="C444" s="3" t="s">
        <v>719</v>
      </c>
      <c r="D444" s="4" t="s">
        <v>178</v>
      </c>
      <c r="E444" s="3" t="s">
        <v>30</v>
      </c>
      <c r="F444" s="3" t="s">
        <v>21</v>
      </c>
      <c r="G444" s="3" t="s">
        <v>720</v>
      </c>
      <c r="H444" s="4" t="s">
        <v>23</v>
      </c>
      <c r="I444" s="2">
        <v>35.0</v>
      </c>
      <c r="J444" s="2">
        <v>39473.0</v>
      </c>
      <c r="K444" s="3" t="s">
        <v>24</v>
      </c>
      <c r="L444" s="3" t="s">
        <v>25</v>
      </c>
      <c r="M444" s="4" t="s">
        <v>168</v>
      </c>
      <c r="N444" s="2">
        <v>14300.0</v>
      </c>
      <c r="O444" s="2">
        <v>14700.0</v>
      </c>
      <c r="P444" s="5">
        <v>41991.0</v>
      </c>
      <c r="Q444" s="3" t="s">
        <v>27</v>
      </c>
    </row>
    <row r="445" ht="22.5" customHeight="1">
      <c r="A445" s="2">
        <v>2013.0</v>
      </c>
      <c r="B445" s="3" t="s">
        <v>715</v>
      </c>
      <c r="C445" s="3" t="s">
        <v>719</v>
      </c>
      <c r="D445" s="4" t="s">
        <v>178</v>
      </c>
      <c r="E445" s="3" t="s">
        <v>30</v>
      </c>
      <c r="F445" s="3" t="s">
        <v>21</v>
      </c>
      <c r="G445" s="3" t="s">
        <v>721</v>
      </c>
      <c r="H445" s="4" t="s">
        <v>23</v>
      </c>
      <c r="I445" s="2">
        <v>38.0</v>
      </c>
      <c r="J445" s="2">
        <v>36990.0</v>
      </c>
      <c r="K445" s="3" t="s">
        <v>36</v>
      </c>
      <c r="L445" s="3" t="s">
        <v>25</v>
      </c>
      <c r="M445" s="4" t="s">
        <v>168</v>
      </c>
      <c r="N445" s="2">
        <v>14550.0</v>
      </c>
      <c r="O445" s="2">
        <v>14800.0</v>
      </c>
      <c r="P445" s="5">
        <v>41991.0</v>
      </c>
      <c r="Q445" s="3" t="s">
        <v>27</v>
      </c>
    </row>
    <row r="446" ht="22.5" customHeight="1">
      <c r="A446" s="2">
        <v>2013.0</v>
      </c>
      <c r="B446" s="3" t="s">
        <v>715</v>
      </c>
      <c r="C446" s="3" t="s">
        <v>719</v>
      </c>
      <c r="D446" s="4" t="s">
        <v>178</v>
      </c>
      <c r="E446" s="3" t="s">
        <v>30</v>
      </c>
      <c r="F446" s="3" t="s">
        <v>21</v>
      </c>
      <c r="G446" s="3" t="s">
        <v>722</v>
      </c>
      <c r="H446" s="4" t="s">
        <v>23</v>
      </c>
      <c r="I446" s="2">
        <v>41.0</v>
      </c>
      <c r="J446" s="2">
        <v>40498.0</v>
      </c>
      <c r="K446" s="3" t="s">
        <v>173</v>
      </c>
      <c r="L446" s="3" t="s">
        <v>25</v>
      </c>
      <c r="M446" s="4" t="s">
        <v>168</v>
      </c>
      <c r="N446" s="2">
        <v>14200.0</v>
      </c>
      <c r="O446" s="2">
        <v>14600.0</v>
      </c>
      <c r="P446" s="5">
        <v>41991.0</v>
      </c>
      <c r="Q446" s="3" t="s">
        <v>27</v>
      </c>
    </row>
    <row r="447" ht="22.5" customHeight="1">
      <c r="A447" s="2">
        <v>2013.0</v>
      </c>
      <c r="B447" s="3" t="s">
        <v>715</v>
      </c>
      <c r="C447" s="3" t="s">
        <v>723</v>
      </c>
      <c r="D447" s="4" t="s">
        <v>724</v>
      </c>
      <c r="E447" s="3" t="s">
        <v>20</v>
      </c>
      <c r="F447" s="3" t="s">
        <v>21</v>
      </c>
      <c r="G447" s="3" t="s">
        <v>725</v>
      </c>
      <c r="H447" s="4" t="s">
        <v>23</v>
      </c>
      <c r="I447" s="2">
        <v>28.0</v>
      </c>
      <c r="J447" s="2">
        <v>38311.0</v>
      </c>
      <c r="K447" s="3" t="s">
        <v>139</v>
      </c>
      <c r="L447" s="3" t="s">
        <v>25</v>
      </c>
      <c r="M447" s="4" t="s">
        <v>168</v>
      </c>
      <c r="N447" s="2">
        <v>9900.0</v>
      </c>
      <c r="O447" s="2">
        <v>10100.0</v>
      </c>
      <c r="P447" s="5">
        <v>41991.0</v>
      </c>
      <c r="Q447" s="3" t="s">
        <v>27</v>
      </c>
    </row>
    <row r="448" ht="22.5" customHeight="1">
      <c r="A448" s="2">
        <v>2013.0</v>
      </c>
      <c r="B448" s="3" t="s">
        <v>715</v>
      </c>
      <c r="C448" s="3" t="s">
        <v>719</v>
      </c>
      <c r="D448" s="4" t="s">
        <v>178</v>
      </c>
      <c r="E448" s="3" t="s">
        <v>30</v>
      </c>
      <c r="F448" s="3" t="s">
        <v>21</v>
      </c>
      <c r="G448" s="3" t="s">
        <v>726</v>
      </c>
      <c r="H448" s="4" t="s">
        <v>23</v>
      </c>
      <c r="I448" s="2">
        <v>39.0</v>
      </c>
      <c r="J448" s="2">
        <v>36071.0</v>
      </c>
      <c r="K448" s="3" t="s">
        <v>36</v>
      </c>
      <c r="L448" s="3" t="s">
        <v>25</v>
      </c>
      <c r="M448" s="4" t="s">
        <v>143</v>
      </c>
      <c r="N448" s="2">
        <v>14750.0</v>
      </c>
      <c r="O448" s="2">
        <v>15000.0</v>
      </c>
      <c r="P448" s="5">
        <v>42004.0</v>
      </c>
      <c r="Q448" s="3" t="s">
        <v>84</v>
      </c>
    </row>
    <row r="449" ht="22.5" customHeight="1">
      <c r="A449" s="2">
        <v>2013.0</v>
      </c>
      <c r="B449" s="3" t="s">
        <v>715</v>
      </c>
      <c r="C449" s="3" t="s">
        <v>723</v>
      </c>
      <c r="D449" s="4" t="s">
        <v>727</v>
      </c>
      <c r="E449" s="3" t="s">
        <v>20</v>
      </c>
      <c r="F449" s="3" t="s">
        <v>21</v>
      </c>
      <c r="G449" s="3" t="s">
        <v>728</v>
      </c>
      <c r="H449" s="4" t="s">
        <v>23</v>
      </c>
      <c r="I449" s="2">
        <v>36.0</v>
      </c>
      <c r="J449" s="2">
        <v>27059.0</v>
      </c>
      <c r="K449" s="3" t="s">
        <v>167</v>
      </c>
      <c r="L449" s="3" t="s">
        <v>25</v>
      </c>
      <c r="M449" s="4" t="s">
        <v>649</v>
      </c>
      <c r="N449" s="2">
        <v>19600.0</v>
      </c>
      <c r="O449" s="2">
        <v>18900.0</v>
      </c>
      <c r="P449" s="5">
        <v>42010.0</v>
      </c>
      <c r="Q449" s="3" t="s">
        <v>42</v>
      </c>
    </row>
    <row r="450" ht="22.5" customHeight="1">
      <c r="A450" s="2">
        <v>2013.0</v>
      </c>
      <c r="B450" s="3" t="s">
        <v>729</v>
      </c>
      <c r="C450" s="3" t="s">
        <v>730</v>
      </c>
      <c r="D450" s="4">
        <v>2.5</v>
      </c>
      <c r="E450" s="3" t="s">
        <v>20</v>
      </c>
      <c r="F450" s="3" t="s">
        <v>21</v>
      </c>
      <c r="G450" s="3" t="s">
        <v>731</v>
      </c>
      <c r="H450" s="4" t="s">
        <v>23</v>
      </c>
      <c r="I450" s="2">
        <v>2.0</v>
      </c>
      <c r="J450" s="2">
        <v>38766.0</v>
      </c>
      <c r="K450" s="3" t="s">
        <v>25</v>
      </c>
      <c r="L450" s="3" t="s">
        <v>25</v>
      </c>
      <c r="M450" s="4" t="s">
        <v>63</v>
      </c>
      <c r="N450" s="2">
        <v>12850.0</v>
      </c>
      <c r="O450" s="2">
        <v>12100.0</v>
      </c>
      <c r="P450" s="5">
        <v>41989.0</v>
      </c>
      <c r="Q450" s="3" t="s">
        <v>42</v>
      </c>
    </row>
    <row r="451" ht="22.5" customHeight="1">
      <c r="A451" s="2">
        <v>2013.0</v>
      </c>
      <c r="B451" s="3" t="s">
        <v>729</v>
      </c>
      <c r="C451" s="3" t="s">
        <v>730</v>
      </c>
      <c r="D451" s="4">
        <v>2.5</v>
      </c>
      <c r="E451" s="3" t="s">
        <v>20</v>
      </c>
      <c r="F451" s="3" t="s">
        <v>21</v>
      </c>
      <c r="G451" s="3" t="s">
        <v>732</v>
      </c>
      <c r="H451" s="4" t="s">
        <v>23</v>
      </c>
      <c r="I451" s="2">
        <v>36.0</v>
      </c>
      <c r="J451" s="2">
        <v>37136.0</v>
      </c>
      <c r="K451" s="3" t="s">
        <v>139</v>
      </c>
      <c r="L451" s="3" t="s">
        <v>181</v>
      </c>
      <c r="M451" s="4" t="s">
        <v>168</v>
      </c>
      <c r="N451" s="2">
        <v>12900.0</v>
      </c>
      <c r="O451" s="2">
        <v>13800.0</v>
      </c>
      <c r="P451" s="5">
        <v>41989.0</v>
      </c>
      <c r="Q451" s="3" t="s">
        <v>42</v>
      </c>
    </row>
    <row r="452" ht="22.5" customHeight="1">
      <c r="A452" s="2">
        <v>2013.0</v>
      </c>
      <c r="B452" s="3" t="s">
        <v>729</v>
      </c>
      <c r="C452" s="3" t="s">
        <v>730</v>
      </c>
      <c r="D452" s="4">
        <v>2.5</v>
      </c>
      <c r="E452" s="3" t="s">
        <v>20</v>
      </c>
      <c r="F452" s="3" t="s">
        <v>21</v>
      </c>
      <c r="G452" s="3" t="s">
        <v>733</v>
      </c>
      <c r="H452" s="4" t="s">
        <v>23</v>
      </c>
      <c r="I452" s="2">
        <v>32.0</v>
      </c>
      <c r="J452" s="2">
        <v>62381.0</v>
      </c>
      <c r="K452" s="3" t="s">
        <v>25</v>
      </c>
      <c r="L452" s="3" t="s">
        <v>25</v>
      </c>
      <c r="M452" s="4" t="s">
        <v>83</v>
      </c>
      <c r="N452" s="2">
        <v>11700.0</v>
      </c>
      <c r="O452" s="2">
        <v>11900.0</v>
      </c>
      <c r="P452" s="5">
        <v>41989.0</v>
      </c>
      <c r="Q452" s="3" t="s">
        <v>42</v>
      </c>
    </row>
    <row r="453" ht="22.5" customHeight="1">
      <c r="A453" s="2">
        <v>2013.0</v>
      </c>
      <c r="B453" s="3" t="s">
        <v>729</v>
      </c>
      <c r="C453" s="3" t="s">
        <v>730</v>
      </c>
      <c r="D453" s="4">
        <v>2.5</v>
      </c>
      <c r="E453" s="3" t="s">
        <v>20</v>
      </c>
      <c r="F453" s="3" t="s">
        <v>21</v>
      </c>
      <c r="G453" s="3" t="s">
        <v>734</v>
      </c>
      <c r="H453" s="4" t="s">
        <v>23</v>
      </c>
      <c r="I453" s="2">
        <v>43.0</v>
      </c>
      <c r="J453" s="2">
        <v>38974.0</v>
      </c>
      <c r="K453" s="3" t="s">
        <v>36</v>
      </c>
      <c r="L453" s="3" t="s">
        <v>25</v>
      </c>
      <c r="M453" s="4" t="s">
        <v>160</v>
      </c>
      <c r="N453" s="2">
        <v>12800.0</v>
      </c>
      <c r="O453" s="2">
        <v>13600.0</v>
      </c>
      <c r="P453" s="5">
        <v>41989.0</v>
      </c>
      <c r="Q453" s="3" t="s">
        <v>42</v>
      </c>
    </row>
    <row r="454" ht="22.5" customHeight="1">
      <c r="A454" s="2">
        <v>2013.0</v>
      </c>
      <c r="B454" s="3" t="s">
        <v>729</v>
      </c>
      <c r="C454" s="3" t="s">
        <v>730</v>
      </c>
      <c r="D454" s="4">
        <v>2.5</v>
      </c>
      <c r="E454" s="3" t="s">
        <v>20</v>
      </c>
      <c r="F454" s="3" t="s">
        <v>21</v>
      </c>
      <c r="G454" s="3" t="s">
        <v>735</v>
      </c>
      <c r="H454" s="4" t="s">
        <v>23</v>
      </c>
      <c r="I454" s="2">
        <v>4.0</v>
      </c>
      <c r="J454" s="2">
        <v>37020.0</v>
      </c>
      <c r="K454" s="3" t="s">
        <v>139</v>
      </c>
      <c r="L454" s="3" t="s">
        <v>25</v>
      </c>
      <c r="M454" s="4" t="s">
        <v>160</v>
      </c>
      <c r="N454" s="2">
        <v>13400.0</v>
      </c>
      <c r="O454" s="2">
        <v>13600.0</v>
      </c>
      <c r="P454" s="5">
        <v>41989.0</v>
      </c>
      <c r="Q454" s="3" t="s">
        <v>42</v>
      </c>
    </row>
    <row r="455" ht="22.5" customHeight="1">
      <c r="A455" s="2">
        <v>2013.0</v>
      </c>
      <c r="B455" s="3" t="s">
        <v>729</v>
      </c>
      <c r="C455" s="3" t="s">
        <v>736</v>
      </c>
      <c r="D455" s="4" t="s">
        <v>34</v>
      </c>
      <c r="E455" s="3" t="s">
        <v>86</v>
      </c>
      <c r="F455" s="3" t="s">
        <v>21</v>
      </c>
      <c r="G455" s="3" t="s">
        <v>737</v>
      </c>
      <c r="H455" s="4" t="s">
        <v>23</v>
      </c>
      <c r="I455" s="2">
        <v>43.0</v>
      </c>
      <c r="J455" s="2">
        <v>445.0</v>
      </c>
      <c r="K455" s="3" t="s">
        <v>36</v>
      </c>
      <c r="L455" s="3" t="s">
        <v>25</v>
      </c>
      <c r="M455" s="4" t="s">
        <v>465</v>
      </c>
      <c r="N455" s="2">
        <v>29800.0</v>
      </c>
      <c r="O455" s="2">
        <v>28750.0</v>
      </c>
      <c r="P455" s="5">
        <v>41989.0</v>
      </c>
      <c r="Q455" s="3" t="s">
        <v>42</v>
      </c>
    </row>
    <row r="456" ht="22.5" customHeight="1">
      <c r="A456" s="2">
        <v>2013.0</v>
      </c>
      <c r="B456" s="3" t="s">
        <v>729</v>
      </c>
      <c r="C456" s="3" t="s">
        <v>730</v>
      </c>
      <c r="D456" s="4">
        <v>2.5</v>
      </c>
      <c r="E456" s="3" t="s">
        <v>20</v>
      </c>
      <c r="F456" s="3" t="s">
        <v>21</v>
      </c>
      <c r="G456" s="3" t="s">
        <v>738</v>
      </c>
      <c r="H456" s="4" t="s">
        <v>23</v>
      </c>
      <c r="I456" s="2">
        <v>35.0</v>
      </c>
      <c r="J456" s="2">
        <v>38688.0</v>
      </c>
      <c r="K456" s="3" t="s">
        <v>139</v>
      </c>
      <c r="L456" s="3" t="s">
        <v>25</v>
      </c>
      <c r="M456" s="4" t="s">
        <v>168</v>
      </c>
      <c r="N456" s="2">
        <v>12850.0</v>
      </c>
      <c r="O456" s="2">
        <v>13500.0</v>
      </c>
      <c r="P456" s="5">
        <v>41989.0</v>
      </c>
      <c r="Q456" s="3" t="s">
        <v>42</v>
      </c>
    </row>
    <row r="457" ht="22.5" customHeight="1">
      <c r="A457" s="2">
        <v>2013.0</v>
      </c>
      <c r="B457" s="3" t="s">
        <v>729</v>
      </c>
      <c r="C457" s="3" t="s">
        <v>730</v>
      </c>
      <c r="D457" s="4">
        <v>2.5</v>
      </c>
      <c r="E457" s="3" t="s">
        <v>20</v>
      </c>
      <c r="F457" s="3" t="s">
        <v>21</v>
      </c>
      <c r="G457" s="3" t="s">
        <v>739</v>
      </c>
      <c r="H457" s="4" t="s">
        <v>23</v>
      </c>
      <c r="I457" s="2">
        <v>33.0</v>
      </c>
      <c r="J457" s="2">
        <v>40931.0</v>
      </c>
      <c r="K457" s="3" t="s">
        <v>740</v>
      </c>
      <c r="L457" s="3" t="s">
        <v>25</v>
      </c>
      <c r="M457" s="4" t="s">
        <v>160</v>
      </c>
      <c r="N457" s="2">
        <v>12750.0</v>
      </c>
      <c r="O457" s="2">
        <v>13500.0</v>
      </c>
      <c r="P457" s="5">
        <v>41989.0</v>
      </c>
      <c r="Q457" s="3" t="s">
        <v>42</v>
      </c>
    </row>
    <row r="458" ht="22.5" customHeight="1">
      <c r="A458" s="2">
        <v>2013.0</v>
      </c>
      <c r="B458" s="3" t="s">
        <v>729</v>
      </c>
      <c r="C458" s="3" t="s">
        <v>736</v>
      </c>
      <c r="D458" s="4" t="s">
        <v>34</v>
      </c>
      <c r="E458" s="3" t="s">
        <v>49</v>
      </c>
      <c r="F458" s="3" t="s">
        <v>21</v>
      </c>
      <c r="G458" s="3" t="s">
        <v>741</v>
      </c>
      <c r="H458" s="4" t="s">
        <v>23</v>
      </c>
      <c r="I458" s="2">
        <v>38.0</v>
      </c>
      <c r="J458" s="2">
        <v>10506.0</v>
      </c>
      <c r="K458" s="3" t="s">
        <v>25</v>
      </c>
      <c r="L458" s="3" t="s">
        <v>25</v>
      </c>
      <c r="M458" s="4" t="s">
        <v>465</v>
      </c>
      <c r="N458" s="2">
        <v>23600.0</v>
      </c>
      <c r="O458" s="2">
        <v>21500.0</v>
      </c>
      <c r="P458" s="5">
        <v>41989.0</v>
      </c>
      <c r="Q458" s="3" t="s">
        <v>42</v>
      </c>
    </row>
    <row r="459" ht="22.5" customHeight="1">
      <c r="A459" s="2">
        <v>2013.0</v>
      </c>
      <c r="B459" s="3" t="s">
        <v>729</v>
      </c>
      <c r="C459" s="3" t="s">
        <v>730</v>
      </c>
      <c r="D459" s="4" t="s">
        <v>742</v>
      </c>
      <c r="E459" s="3" t="s">
        <v>49</v>
      </c>
      <c r="F459" s="3" t="s">
        <v>21</v>
      </c>
      <c r="G459" s="3" t="s">
        <v>743</v>
      </c>
      <c r="H459" s="4" t="s">
        <v>23</v>
      </c>
      <c r="I459" s="2">
        <v>44.0</v>
      </c>
      <c r="J459" s="2">
        <v>10510.0</v>
      </c>
      <c r="K459" s="3" t="s">
        <v>24</v>
      </c>
      <c r="L459" s="3" t="s">
        <v>25</v>
      </c>
      <c r="M459" s="4" t="s">
        <v>744</v>
      </c>
      <c r="N459" s="2">
        <v>15650.0</v>
      </c>
      <c r="O459" s="2">
        <v>15500.0</v>
      </c>
      <c r="P459" s="5">
        <v>41989.0</v>
      </c>
      <c r="Q459" s="3" t="s">
        <v>42</v>
      </c>
    </row>
    <row r="460" ht="22.5" customHeight="1">
      <c r="A460" s="2">
        <v>2013.0</v>
      </c>
      <c r="B460" s="3" t="s">
        <v>729</v>
      </c>
      <c r="C460" s="3" t="s">
        <v>730</v>
      </c>
      <c r="D460" s="4">
        <v>2.5</v>
      </c>
      <c r="E460" s="3" t="s">
        <v>20</v>
      </c>
      <c r="F460" s="3" t="s">
        <v>21</v>
      </c>
      <c r="G460" s="3" t="s">
        <v>745</v>
      </c>
      <c r="H460" s="4" t="s">
        <v>23</v>
      </c>
      <c r="I460" s="2">
        <v>4.0</v>
      </c>
      <c r="J460" s="2">
        <v>39159.0</v>
      </c>
      <c r="K460" s="3" t="s">
        <v>36</v>
      </c>
      <c r="L460" s="3" t="s">
        <v>25</v>
      </c>
      <c r="M460" s="4" t="s">
        <v>160</v>
      </c>
      <c r="N460" s="2">
        <v>12800.0</v>
      </c>
      <c r="O460" s="2">
        <v>13500.0</v>
      </c>
      <c r="P460" s="5">
        <v>41989.0</v>
      </c>
      <c r="Q460" s="3" t="s">
        <v>42</v>
      </c>
    </row>
    <row r="461" ht="22.5" customHeight="1">
      <c r="A461" s="2">
        <v>2013.0</v>
      </c>
      <c r="B461" s="3" t="s">
        <v>729</v>
      </c>
      <c r="C461" s="3" t="s">
        <v>730</v>
      </c>
      <c r="D461" s="4">
        <v>2.5</v>
      </c>
      <c r="E461" s="3" t="s">
        <v>20</v>
      </c>
      <c r="F461" s="3" t="s">
        <v>21</v>
      </c>
      <c r="G461" s="3" t="s">
        <v>746</v>
      </c>
      <c r="H461" s="4" t="s">
        <v>23</v>
      </c>
      <c r="I461" s="2">
        <v>4.0</v>
      </c>
      <c r="J461" s="2">
        <v>37182.0</v>
      </c>
      <c r="K461" s="3" t="s">
        <v>24</v>
      </c>
      <c r="L461" s="3" t="s">
        <v>25</v>
      </c>
      <c r="M461" s="4" t="s">
        <v>168</v>
      </c>
      <c r="N461" s="2">
        <v>12900.0</v>
      </c>
      <c r="O461" s="2">
        <v>13300.0</v>
      </c>
      <c r="P461" s="5">
        <v>41989.0</v>
      </c>
      <c r="Q461" s="3" t="s">
        <v>42</v>
      </c>
    </row>
    <row r="462" ht="22.5" customHeight="1">
      <c r="A462" s="2">
        <v>2013.0</v>
      </c>
      <c r="B462" s="3" t="s">
        <v>729</v>
      </c>
      <c r="C462" s="3" t="s">
        <v>730</v>
      </c>
      <c r="D462" s="4">
        <v>2.5</v>
      </c>
      <c r="E462" s="3" t="s">
        <v>20</v>
      </c>
      <c r="F462" s="3" t="s">
        <v>21</v>
      </c>
      <c r="G462" s="3" t="s">
        <v>747</v>
      </c>
      <c r="H462" s="4" t="s">
        <v>23</v>
      </c>
      <c r="I462" s="2">
        <v>41.0</v>
      </c>
      <c r="J462" s="2">
        <v>21968.0</v>
      </c>
      <c r="K462" s="3" t="s">
        <v>32</v>
      </c>
      <c r="L462" s="3" t="s">
        <v>181</v>
      </c>
      <c r="M462" s="4" t="s">
        <v>748</v>
      </c>
      <c r="N462" s="2">
        <v>13650.0</v>
      </c>
      <c r="O462" s="2">
        <v>13750.0</v>
      </c>
      <c r="P462" s="5">
        <v>41989.0</v>
      </c>
      <c r="Q462" s="3" t="s">
        <v>42</v>
      </c>
    </row>
    <row r="463" ht="22.5" customHeight="1">
      <c r="A463" s="2">
        <v>2015.0</v>
      </c>
      <c r="B463" s="3" t="s">
        <v>729</v>
      </c>
      <c r="C463" s="3" t="s">
        <v>749</v>
      </c>
      <c r="D463" s="4" t="s">
        <v>750</v>
      </c>
      <c r="E463" s="3" t="s">
        <v>20</v>
      </c>
      <c r="F463" s="3" t="s">
        <v>131</v>
      </c>
      <c r="G463" s="3" t="s">
        <v>751</v>
      </c>
      <c r="H463" s="4" t="s">
        <v>23</v>
      </c>
      <c r="I463" s="2">
        <v>39.0</v>
      </c>
      <c r="J463" s="2">
        <v>1608.0</v>
      </c>
      <c r="K463" s="3" t="s">
        <v>547</v>
      </c>
      <c r="L463" s="3" t="s">
        <v>25</v>
      </c>
      <c r="M463" s="4" t="s">
        <v>752</v>
      </c>
      <c r="N463" s="2">
        <v>10900.0</v>
      </c>
      <c r="O463" s="2">
        <v>11000.0</v>
      </c>
      <c r="P463" s="5">
        <v>41990.0</v>
      </c>
      <c r="Q463" s="3" t="s">
        <v>84</v>
      </c>
    </row>
    <row r="464" ht="22.5" customHeight="1">
      <c r="A464" s="2">
        <v>2013.0</v>
      </c>
      <c r="B464" s="3" t="s">
        <v>729</v>
      </c>
      <c r="C464" s="3" t="s">
        <v>730</v>
      </c>
      <c r="D464" s="4">
        <v>2.5</v>
      </c>
      <c r="E464" s="3" t="s">
        <v>20</v>
      </c>
      <c r="F464" s="3" t="s">
        <v>21</v>
      </c>
      <c r="G464" s="3" t="s">
        <v>753</v>
      </c>
      <c r="H464" s="4" t="s">
        <v>23</v>
      </c>
      <c r="I464" s="2">
        <v>44.0</v>
      </c>
      <c r="J464" s="2">
        <v>44303.0</v>
      </c>
      <c r="K464" s="3" t="s">
        <v>36</v>
      </c>
      <c r="L464" s="3" t="s">
        <v>25</v>
      </c>
      <c r="M464" s="4" t="s">
        <v>160</v>
      </c>
      <c r="N464" s="2">
        <v>12550.0</v>
      </c>
      <c r="O464" s="2">
        <v>13000.0</v>
      </c>
      <c r="P464" s="5">
        <v>41990.0</v>
      </c>
      <c r="Q464" s="3" t="s">
        <v>84</v>
      </c>
    </row>
    <row r="465" ht="22.5" customHeight="1">
      <c r="A465" s="2">
        <v>2013.0</v>
      </c>
      <c r="B465" s="3" t="s">
        <v>729</v>
      </c>
      <c r="C465" s="3" t="s">
        <v>730</v>
      </c>
      <c r="D465" s="4">
        <v>2.5</v>
      </c>
      <c r="E465" s="3" t="s">
        <v>20</v>
      </c>
      <c r="F465" s="3" t="s">
        <v>21</v>
      </c>
      <c r="G465" s="3" t="s">
        <v>754</v>
      </c>
      <c r="H465" s="4" t="s">
        <v>23</v>
      </c>
      <c r="I465" s="2">
        <v>41.0</v>
      </c>
      <c r="J465" s="2">
        <v>39364.0</v>
      </c>
      <c r="K465" s="3" t="s">
        <v>36</v>
      </c>
      <c r="L465" s="3" t="s">
        <v>25</v>
      </c>
      <c r="M465" s="4" t="s">
        <v>168</v>
      </c>
      <c r="N465" s="2">
        <v>12800.0</v>
      </c>
      <c r="O465" s="2">
        <v>13500.0</v>
      </c>
      <c r="P465" s="5">
        <v>41990.0</v>
      </c>
      <c r="Q465" s="3" t="s">
        <v>84</v>
      </c>
    </row>
    <row r="466" ht="22.5" customHeight="1">
      <c r="A466" s="2">
        <v>2013.0</v>
      </c>
      <c r="B466" s="3" t="s">
        <v>729</v>
      </c>
      <c r="C466" s="3" t="s">
        <v>730</v>
      </c>
      <c r="D466" s="4">
        <v>2.5</v>
      </c>
      <c r="E466" s="3" t="s">
        <v>20</v>
      </c>
      <c r="F466" s="3" t="s">
        <v>21</v>
      </c>
      <c r="G466" s="3" t="s">
        <v>755</v>
      </c>
      <c r="H466" s="4" t="s">
        <v>23</v>
      </c>
      <c r="I466" s="2">
        <v>35.0</v>
      </c>
      <c r="J466" s="2">
        <v>35900.0</v>
      </c>
      <c r="K466" s="3" t="s">
        <v>25</v>
      </c>
      <c r="L466" s="3" t="s">
        <v>25</v>
      </c>
      <c r="M466" s="4" t="s">
        <v>143</v>
      </c>
      <c r="N466" s="2">
        <v>12950.0</v>
      </c>
      <c r="O466" s="2">
        <v>13500.0</v>
      </c>
      <c r="P466" s="5">
        <v>41990.0</v>
      </c>
      <c r="Q466" s="3" t="s">
        <v>84</v>
      </c>
    </row>
    <row r="467" ht="22.5" customHeight="1">
      <c r="A467" s="2">
        <v>2013.0</v>
      </c>
      <c r="B467" s="3" t="s">
        <v>729</v>
      </c>
      <c r="C467" s="3" t="s">
        <v>730</v>
      </c>
      <c r="D467" s="4">
        <v>2.5</v>
      </c>
      <c r="E467" s="3" t="s">
        <v>20</v>
      </c>
      <c r="F467" s="3" t="s">
        <v>21</v>
      </c>
      <c r="G467" s="3" t="s">
        <v>756</v>
      </c>
      <c r="H467" s="4" t="s">
        <v>23</v>
      </c>
      <c r="I467" s="2">
        <v>38.0</v>
      </c>
      <c r="J467" s="2">
        <v>38395.0</v>
      </c>
      <c r="K467" s="3" t="s">
        <v>32</v>
      </c>
      <c r="L467" s="3" t="s">
        <v>25</v>
      </c>
      <c r="M467" s="4" t="s">
        <v>757</v>
      </c>
      <c r="N467" s="2">
        <v>12850.0</v>
      </c>
      <c r="O467" s="2">
        <v>13100.0</v>
      </c>
      <c r="P467" s="5">
        <v>41990.0</v>
      </c>
      <c r="Q467" s="3" t="s">
        <v>84</v>
      </c>
    </row>
    <row r="468" ht="22.5" customHeight="1">
      <c r="A468" s="2">
        <v>2013.0</v>
      </c>
      <c r="B468" s="3" t="s">
        <v>729</v>
      </c>
      <c r="C468" s="3" t="s">
        <v>730</v>
      </c>
      <c r="D468" s="4">
        <v>2.5</v>
      </c>
      <c r="E468" s="3" t="s">
        <v>20</v>
      </c>
      <c r="F468" s="3" t="s">
        <v>21</v>
      </c>
      <c r="G468" s="3" t="s">
        <v>758</v>
      </c>
      <c r="H468" s="4" t="s">
        <v>23</v>
      </c>
      <c r="I468" s="2">
        <v>45.0</v>
      </c>
      <c r="J468" s="2">
        <v>48463.0</v>
      </c>
      <c r="K468" s="3" t="s">
        <v>32</v>
      </c>
      <c r="L468" s="3" t="s">
        <v>181</v>
      </c>
      <c r="M468" s="4" t="s">
        <v>759</v>
      </c>
      <c r="N468" s="2">
        <v>12350.0</v>
      </c>
      <c r="O468" s="2">
        <v>14000.0</v>
      </c>
      <c r="P468" s="5">
        <v>41990.0</v>
      </c>
      <c r="Q468" s="3" t="s">
        <v>84</v>
      </c>
    </row>
    <row r="469" ht="22.5" customHeight="1">
      <c r="A469" s="2">
        <v>2013.0</v>
      </c>
      <c r="B469" s="3" t="s">
        <v>729</v>
      </c>
      <c r="C469" s="3" t="s">
        <v>730</v>
      </c>
      <c r="D469" s="4" t="s">
        <v>742</v>
      </c>
      <c r="E469" s="3" t="s">
        <v>49</v>
      </c>
      <c r="F469" s="3" t="s">
        <v>21</v>
      </c>
      <c r="G469" s="3" t="s">
        <v>760</v>
      </c>
      <c r="H469" s="4" t="s">
        <v>23</v>
      </c>
      <c r="I469" s="2">
        <v>35.0</v>
      </c>
      <c r="J469" s="2">
        <v>42938.0</v>
      </c>
      <c r="K469" s="3" t="s">
        <v>24</v>
      </c>
      <c r="L469" s="3" t="s">
        <v>25</v>
      </c>
      <c r="M469" s="4" t="s">
        <v>143</v>
      </c>
      <c r="N469" s="2">
        <v>12400.0</v>
      </c>
      <c r="O469" s="2">
        <v>13300.0</v>
      </c>
      <c r="P469" s="5">
        <v>41990.0</v>
      </c>
      <c r="Q469" s="3" t="s">
        <v>84</v>
      </c>
    </row>
    <row r="470" ht="22.5" customHeight="1">
      <c r="A470" s="2">
        <v>2013.0</v>
      </c>
      <c r="B470" s="3" t="s">
        <v>729</v>
      </c>
      <c r="C470" s="3" t="s">
        <v>730</v>
      </c>
      <c r="D470" s="4">
        <v>2.5</v>
      </c>
      <c r="E470" s="3" t="s">
        <v>20</v>
      </c>
      <c r="F470" s="3" t="s">
        <v>21</v>
      </c>
      <c r="G470" s="3" t="s">
        <v>761</v>
      </c>
      <c r="H470" s="4" t="s">
        <v>23</v>
      </c>
      <c r="I470" s="2">
        <v>36.0</v>
      </c>
      <c r="J470" s="2">
        <v>40425.0</v>
      </c>
      <c r="K470" s="3" t="s">
        <v>32</v>
      </c>
      <c r="L470" s="3" t="s">
        <v>32</v>
      </c>
      <c r="M470" s="4" t="s">
        <v>762</v>
      </c>
      <c r="N470" s="2">
        <v>13200.0</v>
      </c>
      <c r="O470" s="2">
        <v>12500.0</v>
      </c>
      <c r="P470" s="5">
        <v>41990.0</v>
      </c>
      <c r="Q470" s="3" t="s">
        <v>84</v>
      </c>
    </row>
    <row r="471" ht="22.5" customHeight="1">
      <c r="A471" s="2">
        <v>2013.0</v>
      </c>
      <c r="B471" s="3" t="s">
        <v>729</v>
      </c>
      <c r="C471" s="3" t="s">
        <v>730</v>
      </c>
      <c r="D471" s="4" t="s">
        <v>742</v>
      </c>
      <c r="E471" s="3" t="s">
        <v>49</v>
      </c>
      <c r="F471" s="3" t="s">
        <v>21</v>
      </c>
      <c r="G471" s="3" t="s">
        <v>763</v>
      </c>
      <c r="H471" s="4" t="s">
        <v>23</v>
      </c>
      <c r="I471" s="2">
        <v>34.0</v>
      </c>
      <c r="J471" s="2">
        <v>36975.0</v>
      </c>
      <c r="K471" s="3" t="s">
        <v>139</v>
      </c>
      <c r="L471" s="3" t="s">
        <v>25</v>
      </c>
      <c r="M471" s="4" t="s">
        <v>143</v>
      </c>
      <c r="N471" s="2">
        <v>13000.0</v>
      </c>
      <c r="O471" s="2">
        <v>13500.0</v>
      </c>
      <c r="P471" s="5">
        <v>41990.0</v>
      </c>
      <c r="Q471" s="3" t="s">
        <v>84</v>
      </c>
    </row>
    <row r="472" ht="22.5" customHeight="1">
      <c r="A472" s="2">
        <v>2013.0</v>
      </c>
      <c r="B472" s="3" t="s">
        <v>729</v>
      </c>
      <c r="C472" s="3" t="s">
        <v>730</v>
      </c>
      <c r="D472" s="4">
        <v>2.5</v>
      </c>
      <c r="E472" s="3" t="s">
        <v>20</v>
      </c>
      <c r="F472" s="3" t="s">
        <v>21</v>
      </c>
      <c r="G472" s="3" t="s">
        <v>764</v>
      </c>
      <c r="H472" s="4" t="s">
        <v>23</v>
      </c>
      <c r="I472" s="2">
        <v>4.0</v>
      </c>
      <c r="J472" s="2">
        <v>38666.0</v>
      </c>
      <c r="K472" s="3" t="s">
        <v>36</v>
      </c>
      <c r="L472" s="3" t="s">
        <v>25</v>
      </c>
      <c r="M472" s="4" t="s">
        <v>143</v>
      </c>
      <c r="N472" s="2">
        <v>12850.0</v>
      </c>
      <c r="O472" s="2">
        <v>13300.0</v>
      </c>
      <c r="P472" s="5">
        <v>41990.0</v>
      </c>
      <c r="Q472" s="3" t="s">
        <v>84</v>
      </c>
    </row>
    <row r="473" ht="22.5" customHeight="1">
      <c r="A473" s="2">
        <v>2013.0</v>
      </c>
      <c r="B473" s="3" t="s">
        <v>729</v>
      </c>
      <c r="C473" s="3" t="s">
        <v>730</v>
      </c>
      <c r="D473" s="4">
        <v>2.5</v>
      </c>
      <c r="E473" s="3" t="s">
        <v>20</v>
      </c>
      <c r="F473" s="3" t="s">
        <v>21</v>
      </c>
      <c r="G473" s="3" t="s">
        <v>765</v>
      </c>
      <c r="H473" s="4" t="s">
        <v>23</v>
      </c>
      <c r="I473" s="2">
        <v>35.0</v>
      </c>
      <c r="J473" s="2">
        <v>45568.0</v>
      </c>
      <c r="K473" s="3" t="s">
        <v>25</v>
      </c>
      <c r="L473" s="3" t="s">
        <v>25</v>
      </c>
      <c r="M473" s="4" t="s">
        <v>762</v>
      </c>
      <c r="N473" s="2">
        <v>12550.0</v>
      </c>
      <c r="O473" s="2">
        <v>12000.0</v>
      </c>
      <c r="P473" s="5">
        <v>41990.0</v>
      </c>
      <c r="Q473" s="3" t="s">
        <v>84</v>
      </c>
    </row>
    <row r="474" ht="22.5" customHeight="1">
      <c r="A474" s="2">
        <v>2013.0</v>
      </c>
      <c r="B474" s="3" t="s">
        <v>729</v>
      </c>
      <c r="C474" s="3" t="s">
        <v>730</v>
      </c>
      <c r="D474" s="4">
        <v>2.5</v>
      </c>
      <c r="E474" s="3" t="s">
        <v>20</v>
      </c>
      <c r="F474" s="3" t="s">
        <v>21</v>
      </c>
      <c r="G474" s="3" t="s">
        <v>766</v>
      </c>
      <c r="H474" s="4" t="s">
        <v>23</v>
      </c>
      <c r="I474" s="2">
        <v>38.0</v>
      </c>
      <c r="J474" s="2">
        <v>38444.0</v>
      </c>
      <c r="K474" s="3" t="s">
        <v>24</v>
      </c>
      <c r="L474" s="3" t="s">
        <v>25</v>
      </c>
      <c r="M474" s="4" t="s">
        <v>143</v>
      </c>
      <c r="N474" s="2">
        <v>12850.0</v>
      </c>
      <c r="O474" s="2">
        <v>13500.0</v>
      </c>
      <c r="P474" s="5">
        <v>41990.0</v>
      </c>
      <c r="Q474" s="3" t="s">
        <v>84</v>
      </c>
    </row>
    <row r="475" ht="22.5" customHeight="1">
      <c r="A475" s="2">
        <v>2013.0</v>
      </c>
      <c r="B475" s="3" t="s">
        <v>729</v>
      </c>
      <c r="C475" s="3" t="s">
        <v>730</v>
      </c>
      <c r="D475" s="4">
        <v>2.5</v>
      </c>
      <c r="E475" s="3" t="s">
        <v>20</v>
      </c>
      <c r="F475" s="3" t="s">
        <v>21</v>
      </c>
      <c r="G475" s="3" t="s">
        <v>767</v>
      </c>
      <c r="H475" s="4" t="s">
        <v>23</v>
      </c>
      <c r="I475" s="2">
        <v>44.0</v>
      </c>
      <c r="J475" s="2">
        <v>45685.0</v>
      </c>
      <c r="K475" s="3" t="s">
        <v>24</v>
      </c>
      <c r="L475" s="3" t="s">
        <v>181</v>
      </c>
      <c r="M475" s="4" t="s">
        <v>312</v>
      </c>
      <c r="N475" s="2">
        <v>12550.0</v>
      </c>
      <c r="O475" s="2">
        <v>13200.0</v>
      </c>
      <c r="P475" s="5">
        <v>41991.0</v>
      </c>
      <c r="Q475" s="3" t="s">
        <v>27</v>
      </c>
    </row>
    <row r="476" ht="22.5" customHeight="1">
      <c r="A476" s="2">
        <v>2015.0</v>
      </c>
      <c r="B476" s="3" t="s">
        <v>729</v>
      </c>
      <c r="C476" s="3" t="s">
        <v>730</v>
      </c>
      <c r="D476" s="4" t="s">
        <v>742</v>
      </c>
      <c r="E476" s="3" t="s">
        <v>20</v>
      </c>
      <c r="F476" s="3" t="s">
        <v>21</v>
      </c>
      <c r="G476" s="3" t="s">
        <v>768</v>
      </c>
      <c r="H476" s="4" t="s">
        <v>23</v>
      </c>
      <c r="I476" s="2">
        <v>2.0</v>
      </c>
      <c r="J476" s="2">
        <v>11398.0</v>
      </c>
      <c r="K476" s="3" t="s">
        <v>25</v>
      </c>
      <c r="L476" s="3" t="s">
        <v>25</v>
      </c>
      <c r="M476" s="4" t="s">
        <v>63</v>
      </c>
      <c r="N476" s="2">
        <v>14750.0</v>
      </c>
      <c r="O476" s="2">
        <v>14100.0</v>
      </c>
      <c r="P476" s="5">
        <v>41996.0</v>
      </c>
      <c r="Q476" s="3" t="s">
        <v>42</v>
      </c>
    </row>
    <row r="477" ht="22.5" customHeight="1">
      <c r="A477" s="2">
        <v>2013.0</v>
      </c>
      <c r="B477" s="3" t="s">
        <v>729</v>
      </c>
      <c r="C477" s="3" t="s">
        <v>730</v>
      </c>
      <c r="D477" s="4" t="s">
        <v>742</v>
      </c>
      <c r="E477" s="3" t="s">
        <v>49</v>
      </c>
      <c r="F477" s="3" t="s">
        <v>21</v>
      </c>
      <c r="G477" s="3" t="s">
        <v>769</v>
      </c>
      <c r="H477" s="4" t="s">
        <v>23</v>
      </c>
      <c r="I477" s="2">
        <v>1.0</v>
      </c>
      <c r="J477" s="2">
        <v>33985.0</v>
      </c>
      <c r="K477" s="3" t="s">
        <v>25</v>
      </c>
      <c r="L477" s="3" t="s">
        <v>25</v>
      </c>
      <c r="M477" s="4" t="s">
        <v>770</v>
      </c>
      <c r="N477" s="2">
        <v>13700.0</v>
      </c>
      <c r="O477" s="2">
        <v>8000.0</v>
      </c>
      <c r="P477" s="5">
        <v>41996.0</v>
      </c>
      <c r="Q477" s="3" t="s">
        <v>42</v>
      </c>
    </row>
    <row r="478" ht="22.5" customHeight="1">
      <c r="A478" s="2">
        <v>2013.0</v>
      </c>
      <c r="B478" s="3" t="s">
        <v>729</v>
      </c>
      <c r="C478" s="3" t="s">
        <v>771</v>
      </c>
      <c r="D478" s="4" t="s">
        <v>772</v>
      </c>
      <c r="E478" s="3" t="s">
        <v>215</v>
      </c>
      <c r="F478" s="3" t="s">
        <v>21</v>
      </c>
      <c r="G478" s="3" t="s">
        <v>773</v>
      </c>
      <c r="H478" s="4" t="s">
        <v>23</v>
      </c>
      <c r="I478" s="2">
        <v>43.0</v>
      </c>
      <c r="J478" s="2">
        <v>38134.0</v>
      </c>
      <c r="K478" s="3" t="s">
        <v>24</v>
      </c>
      <c r="L478" s="3" t="s">
        <v>25</v>
      </c>
      <c r="M478" s="4" t="s">
        <v>312</v>
      </c>
      <c r="N478" s="2">
        <v>13750.0</v>
      </c>
      <c r="O478" s="2">
        <v>14400.0</v>
      </c>
      <c r="P478" s="5">
        <v>41999.0</v>
      </c>
      <c r="Q478" s="3" t="s">
        <v>659</v>
      </c>
    </row>
    <row r="479" ht="22.5" customHeight="1">
      <c r="A479" s="2">
        <v>2015.0</v>
      </c>
      <c r="B479" s="3" t="s">
        <v>729</v>
      </c>
      <c r="C479" s="3" t="s">
        <v>730</v>
      </c>
      <c r="D479" s="4" t="s">
        <v>742</v>
      </c>
      <c r="E479" s="3" t="s">
        <v>20</v>
      </c>
      <c r="F479" s="3" t="s">
        <v>21</v>
      </c>
      <c r="G479" s="3" t="s">
        <v>774</v>
      </c>
      <c r="H479" s="4" t="s">
        <v>23</v>
      </c>
      <c r="I479" s="2">
        <v>1.0</v>
      </c>
      <c r="J479" s="2">
        <v>5554.0</v>
      </c>
      <c r="K479" s="3" t="s">
        <v>24</v>
      </c>
      <c r="L479" s="3" t="s">
        <v>25</v>
      </c>
      <c r="M479" s="4" t="s">
        <v>63</v>
      </c>
      <c r="N479" s="2">
        <v>15350.0</v>
      </c>
      <c r="O479" s="2">
        <v>10900.0</v>
      </c>
      <c r="P479" s="5">
        <v>42003.0</v>
      </c>
      <c r="Q479" s="3" t="s">
        <v>42</v>
      </c>
    </row>
    <row r="480" ht="22.5" customHeight="1">
      <c r="A480" s="2">
        <v>2015.0</v>
      </c>
      <c r="B480" s="3" t="s">
        <v>729</v>
      </c>
      <c r="C480" s="3" t="s">
        <v>730</v>
      </c>
      <c r="D480" s="4" t="s">
        <v>742</v>
      </c>
      <c r="E480" s="3" t="s">
        <v>20</v>
      </c>
      <c r="F480" s="3" t="s">
        <v>21</v>
      </c>
      <c r="G480" s="3" t="s">
        <v>775</v>
      </c>
      <c r="H480" s="4" t="s">
        <v>23</v>
      </c>
      <c r="I480" s="2">
        <v>1.0</v>
      </c>
      <c r="J480" s="2">
        <v>4314.0</v>
      </c>
      <c r="K480" s="3" t="s">
        <v>25</v>
      </c>
      <c r="L480" s="3" t="s">
        <v>25</v>
      </c>
      <c r="M480" s="4" t="s">
        <v>63</v>
      </c>
      <c r="N480" s="2">
        <v>15500.0</v>
      </c>
      <c r="O480" s="2">
        <v>11500.0</v>
      </c>
      <c r="P480" s="5">
        <v>42003.0</v>
      </c>
      <c r="Q480" s="3" t="s">
        <v>42</v>
      </c>
    </row>
    <row r="481" ht="22.5" customHeight="1">
      <c r="A481" s="2">
        <v>2013.0</v>
      </c>
      <c r="B481" s="3" t="s">
        <v>729</v>
      </c>
      <c r="C481" s="3" t="s">
        <v>730</v>
      </c>
      <c r="D481" s="4">
        <v>2.5</v>
      </c>
      <c r="E481" s="3" t="s">
        <v>20</v>
      </c>
      <c r="F481" s="3" t="s">
        <v>21</v>
      </c>
      <c r="G481" s="3" t="s">
        <v>776</v>
      </c>
      <c r="H481" s="4" t="s">
        <v>23</v>
      </c>
      <c r="I481" s="2">
        <v>39.0</v>
      </c>
      <c r="J481" s="2">
        <v>37395.0</v>
      </c>
      <c r="K481" s="3" t="s">
        <v>32</v>
      </c>
      <c r="L481" s="3" t="s">
        <v>181</v>
      </c>
      <c r="M481" s="4" t="s">
        <v>168</v>
      </c>
      <c r="N481" s="2">
        <v>13150.0</v>
      </c>
      <c r="O481" s="2">
        <v>13400.0</v>
      </c>
      <c r="P481" s="5">
        <v>42003.0</v>
      </c>
      <c r="Q481" s="3" t="s">
        <v>42</v>
      </c>
    </row>
    <row r="482" ht="22.5" customHeight="1">
      <c r="A482" s="2">
        <v>2015.0</v>
      </c>
      <c r="B482" s="3" t="s">
        <v>729</v>
      </c>
      <c r="C482" s="3" t="s">
        <v>730</v>
      </c>
      <c r="D482" s="4" t="s">
        <v>742</v>
      </c>
      <c r="E482" s="3" t="s">
        <v>20</v>
      </c>
      <c r="F482" s="3" t="s">
        <v>21</v>
      </c>
      <c r="G482" s="3" t="s">
        <v>777</v>
      </c>
      <c r="H482" s="4" t="s">
        <v>23</v>
      </c>
      <c r="I482" s="2">
        <v>1.0</v>
      </c>
      <c r="J482" s="2">
        <v>12752.0</v>
      </c>
      <c r="K482" s="3" t="s">
        <v>24</v>
      </c>
      <c r="L482" s="3" t="s">
        <v>25</v>
      </c>
      <c r="M482" s="4" t="s">
        <v>63</v>
      </c>
      <c r="N482" s="2">
        <v>14600.0</v>
      </c>
      <c r="O482" s="2">
        <v>9500.0</v>
      </c>
      <c r="P482" s="5">
        <v>42003.0</v>
      </c>
      <c r="Q482" s="3" t="s">
        <v>42</v>
      </c>
    </row>
    <row r="483" ht="22.5" customHeight="1">
      <c r="A483" s="2">
        <v>2013.0</v>
      </c>
      <c r="B483" s="3" t="s">
        <v>729</v>
      </c>
      <c r="C483" s="3" t="s">
        <v>730</v>
      </c>
      <c r="D483" s="4">
        <v>2.5</v>
      </c>
      <c r="E483" s="3" t="s">
        <v>20</v>
      </c>
      <c r="F483" s="3" t="s">
        <v>21</v>
      </c>
      <c r="G483" s="3" t="s">
        <v>778</v>
      </c>
      <c r="H483" s="4" t="s">
        <v>23</v>
      </c>
      <c r="I483" s="2">
        <v>37.0</v>
      </c>
      <c r="J483" s="2">
        <v>47601.0</v>
      </c>
      <c r="K483" s="3" t="s">
        <v>25</v>
      </c>
      <c r="L483" s="3" t="s">
        <v>25</v>
      </c>
      <c r="M483" s="4" t="s">
        <v>762</v>
      </c>
      <c r="N483" s="2">
        <v>12600.0</v>
      </c>
      <c r="O483" s="2">
        <v>12200.0</v>
      </c>
      <c r="P483" s="5">
        <v>42003.0</v>
      </c>
      <c r="Q483" s="3" t="s">
        <v>42</v>
      </c>
    </row>
    <row r="484" ht="22.5" customHeight="1">
      <c r="A484" s="2">
        <v>2013.0</v>
      </c>
      <c r="B484" s="3" t="s">
        <v>729</v>
      </c>
      <c r="C484" s="3" t="s">
        <v>730</v>
      </c>
      <c r="D484" s="4">
        <v>2.5</v>
      </c>
      <c r="E484" s="3" t="s">
        <v>20</v>
      </c>
      <c r="F484" s="3" t="s">
        <v>21</v>
      </c>
      <c r="G484" s="3" t="s">
        <v>779</v>
      </c>
      <c r="H484" s="4" t="s">
        <v>23</v>
      </c>
      <c r="I484" s="2">
        <v>37.0</v>
      </c>
      <c r="J484" s="2">
        <v>43262.0</v>
      </c>
      <c r="K484" s="3" t="s">
        <v>25</v>
      </c>
      <c r="L484" s="3" t="s">
        <v>230</v>
      </c>
      <c r="M484" s="4" t="s">
        <v>168</v>
      </c>
      <c r="N484" s="2">
        <v>12750.0</v>
      </c>
      <c r="O484" s="2">
        <v>13400.0</v>
      </c>
      <c r="P484" s="5">
        <v>42004.0</v>
      </c>
      <c r="Q484" s="3" t="s">
        <v>84</v>
      </c>
    </row>
    <row r="485" ht="22.5" customHeight="1">
      <c r="A485" s="2">
        <v>2013.0</v>
      </c>
      <c r="B485" s="3" t="s">
        <v>729</v>
      </c>
      <c r="C485" s="3" t="s">
        <v>730</v>
      </c>
      <c r="D485" s="4">
        <v>2.5</v>
      </c>
      <c r="E485" s="3" t="s">
        <v>20</v>
      </c>
      <c r="F485" s="3" t="s">
        <v>21</v>
      </c>
      <c r="G485" s="3" t="s">
        <v>780</v>
      </c>
      <c r="H485" s="4" t="s">
        <v>23</v>
      </c>
      <c r="I485" s="2">
        <v>24.0</v>
      </c>
      <c r="J485" s="2">
        <v>35591.0</v>
      </c>
      <c r="K485" s="3" t="s">
        <v>24</v>
      </c>
      <c r="L485" s="3" t="s">
        <v>25</v>
      </c>
      <c r="M485" s="4" t="s">
        <v>762</v>
      </c>
      <c r="N485" s="2">
        <v>13600.0</v>
      </c>
      <c r="O485" s="2">
        <v>12700.0</v>
      </c>
      <c r="P485" s="5">
        <v>42011.0</v>
      </c>
      <c r="Q485" s="3" t="s">
        <v>84</v>
      </c>
    </row>
    <row r="486" ht="22.5" customHeight="1">
      <c r="A486" s="2">
        <v>2013.0</v>
      </c>
      <c r="B486" s="3" t="s">
        <v>729</v>
      </c>
      <c r="C486" s="3" t="s">
        <v>730</v>
      </c>
      <c r="D486" s="4" t="s">
        <v>742</v>
      </c>
      <c r="E486" s="3" t="s">
        <v>49</v>
      </c>
      <c r="F486" s="3" t="s">
        <v>21</v>
      </c>
      <c r="G486" s="3" t="s">
        <v>781</v>
      </c>
      <c r="H486" s="4" t="s">
        <v>23</v>
      </c>
      <c r="I486" s="2">
        <v>35.0</v>
      </c>
      <c r="J486" s="2">
        <v>38530.0</v>
      </c>
      <c r="K486" s="3" t="s">
        <v>32</v>
      </c>
      <c r="L486" s="3" t="s">
        <v>25</v>
      </c>
      <c r="M486" s="4" t="s">
        <v>168</v>
      </c>
      <c r="N486" s="2">
        <v>13200.0</v>
      </c>
      <c r="O486" s="2">
        <v>13600.0</v>
      </c>
      <c r="P486" s="5">
        <v>42012.0</v>
      </c>
      <c r="Q486" s="3" t="s">
        <v>27</v>
      </c>
    </row>
    <row r="487" ht="22.5" customHeight="1">
      <c r="A487" s="2">
        <v>2015.0</v>
      </c>
      <c r="B487" s="3" t="s">
        <v>729</v>
      </c>
      <c r="C487" s="3" t="s">
        <v>782</v>
      </c>
      <c r="D487" s="4" t="s">
        <v>783</v>
      </c>
      <c r="E487" s="3" t="s">
        <v>215</v>
      </c>
      <c r="F487" s="3" t="s">
        <v>21</v>
      </c>
      <c r="G487" s="3" t="s">
        <v>784</v>
      </c>
      <c r="H487" s="4" t="s">
        <v>23</v>
      </c>
      <c r="I487" s="2">
        <v>2.0</v>
      </c>
      <c r="J487" s="2">
        <v>5773.0</v>
      </c>
      <c r="K487" s="3" t="s">
        <v>139</v>
      </c>
      <c r="L487" s="3" t="s">
        <v>25</v>
      </c>
      <c r="M487" s="4" t="s">
        <v>63</v>
      </c>
      <c r="N487" s="2">
        <v>12050.0</v>
      </c>
      <c r="O487" s="2">
        <v>9000.0</v>
      </c>
      <c r="P487" s="5">
        <v>42017.0</v>
      </c>
      <c r="Q487" s="3" t="s">
        <v>42</v>
      </c>
    </row>
    <row r="488" ht="22.5" customHeight="1">
      <c r="A488" s="2">
        <v>2013.0</v>
      </c>
      <c r="B488" s="3" t="s">
        <v>785</v>
      </c>
      <c r="C488" s="3" t="s">
        <v>786</v>
      </c>
      <c r="D488" s="4" t="s">
        <v>717</v>
      </c>
      <c r="E488" s="3" t="s">
        <v>20</v>
      </c>
      <c r="F488" s="3" t="s">
        <v>21</v>
      </c>
      <c r="G488" s="3" t="s">
        <v>787</v>
      </c>
      <c r="H488" s="4" t="s">
        <v>23</v>
      </c>
      <c r="I488" s="2">
        <v>1.0</v>
      </c>
      <c r="J488" s="2">
        <v>34915.0</v>
      </c>
      <c r="K488" s="3" t="s">
        <v>25</v>
      </c>
      <c r="L488" s="3" t="s">
        <v>24</v>
      </c>
      <c r="M488" s="4" t="s">
        <v>63</v>
      </c>
      <c r="N488" s="2">
        <v>11400.0</v>
      </c>
      <c r="O488" s="2">
        <v>9200.0</v>
      </c>
      <c r="P488" s="5">
        <v>41989.0</v>
      </c>
      <c r="Q488" s="3" t="s">
        <v>42</v>
      </c>
    </row>
    <row r="489" ht="22.5" customHeight="1">
      <c r="A489" s="2">
        <v>2013.0</v>
      </c>
      <c r="B489" s="3" t="s">
        <v>785</v>
      </c>
      <c r="C489" s="3" t="s">
        <v>788</v>
      </c>
      <c r="D489" s="4" t="s">
        <v>789</v>
      </c>
      <c r="E489" s="3" t="s">
        <v>641</v>
      </c>
      <c r="F489" s="3" t="s">
        <v>21</v>
      </c>
      <c r="G489" s="3" t="s">
        <v>790</v>
      </c>
      <c r="H489" s="4" t="s">
        <v>23</v>
      </c>
      <c r="I489" s="2">
        <v>35.0</v>
      </c>
      <c r="J489" s="2">
        <v>49188.0</v>
      </c>
      <c r="K489" s="3" t="s">
        <v>24</v>
      </c>
      <c r="L489" s="3" t="s">
        <v>230</v>
      </c>
      <c r="M489" s="4" t="s">
        <v>83</v>
      </c>
      <c r="N489" s="2">
        <v>17150.0</v>
      </c>
      <c r="O489" s="2">
        <v>18000.0</v>
      </c>
      <c r="P489" s="5">
        <v>41989.0</v>
      </c>
      <c r="Q489" s="3" t="s">
        <v>42</v>
      </c>
    </row>
    <row r="490" ht="22.5" customHeight="1">
      <c r="A490" s="2">
        <v>2013.0</v>
      </c>
      <c r="B490" s="3" t="s">
        <v>785</v>
      </c>
      <c r="C490" s="3" t="s">
        <v>791</v>
      </c>
      <c r="D490" s="4" t="s">
        <v>624</v>
      </c>
      <c r="E490" s="3" t="s">
        <v>215</v>
      </c>
      <c r="F490" s="3" t="s">
        <v>21</v>
      </c>
      <c r="G490" s="3" t="s">
        <v>792</v>
      </c>
      <c r="H490" s="4" t="s">
        <v>23</v>
      </c>
      <c r="I490" s="2">
        <v>2.0</v>
      </c>
      <c r="J490" s="2">
        <v>28412.0</v>
      </c>
      <c r="K490" s="3" t="s">
        <v>32</v>
      </c>
      <c r="L490" s="3" t="s">
        <v>24</v>
      </c>
      <c r="M490" s="4" t="s">
        <v>63</v>
      </c>
      <c r="N490" s="2">
        <v>9775.0</v>
      </c>
      <c r="O490" s="2">
        <v>7800.0</v>
      </c>
      <c r="P490" s="5">
        <v>42003.0</v>
      </c>
      <c r="Q490" s="3" t="s">
        <v>42</v>
      </c>
    </row>
    <row r="491" ht="22.5" customHeight="1">
      <c r="A491" s="2">
        <v>2013.0</v>
      </c>
      <c r="B491" s="3" t="s">
        <v>793</v>
      </c>
      <c r="C491" s="3" t="s">
        <v>794</v>
      </c>
      <c r="D491" s="4" t="s">
        <v>795</v>
      </c>
      <c r="E491" s="3" t="s">
        <v>20</v>
      </c>
      <c r="F491" s="3" t="s">
        <v>21</v>
      </c>
      <c r="G491" s="3" t="s">
        <v>796</v>
      </c>
      <c r="H491" s="4" t="s">
        <v>23</v>
      </c>
      <c r="I491" s="2">
        <v>1.0</v>
      </c>
      <c r="J491" s="2">
        <v>22907.0</v>
      </c>
      <c r="K491" s="3" t="s">
        <v>32</v>
      </c>
      <c r="L491" s="3" t="s">
        <v>25</v>
      </c>
      <c r="M491" s="4" t="s">
        <v>797</v>
      </c>
      <c r="N491" s="2">
        <v>14450.0</v>
      </c>
      <c r="O491" s="2">
        <v>8000.0</v>
      </c>
      <c r="P491" s="5">
        <v>41989.0</v>
      </c>
      <c r="Q491" s="3" t="s">
        <v>42</v>
      </c>
    </row>
    <row r="492" ht="22.5" customHeight="1">
      <c r="A492" s="2">
        <v>2013.0</v>
      </c>
      <c r="B492" s="3" t="s">
        <v>798</v>
      </c>
      <c r="C492" s="3" t="s">
        <v>799</v>
      </c>
      <c r="D492" s="4">
        <v>3.2</v>
      </c>
      <c r="E492" s="3" t="s">
        <v>30</v>
      </c>
      <c r="F492" s="3" t="s">
        <v>21</v>
      </c>
      <c r="G492" s="3" t="s">
        <v>800</v>
      </c>
      <c r="H492" s="4" t="s">
        <v>23</v>
      </c>
      <c r="I492" s="2">
        <v>43.0</v>
      </c>
      <c r="J492" s="2">
        <v>34933.0</v>
      </c>
      <c r="K492" s="3" t="s">
        <v>32</v>
      </c>
      <c r="L492" s="3" t="s">
        <v>25</v>
      </c>
      <c r="M492" s="4" t="s">
        <v>168</v>
      </c>
      <c r="N492" s="2">
        <v>21200.0</v>
      </c>
      <c r="O492" s="2">
        <v>22900.0</v>
      </c>
      <c r="P492" s="5">
        <v>41989.0</v>
      </c>
      <c r="Q492" s="3" t="s">
        <v>42</v>
      </c>
    </row>
    <row r="493" ht="22.5" customHeight="1">
      <c r="A493" s="2">
        <v>2015.0</v>
      </c>
      <c r="B493" s="3" t="s">
        <v>798</v>
      </c>
      <c r="C493" s="3" t="s">
        <v>801</v>
      </c>
      <c r="D493" s="4" t="s">
        <v>802</v>
      </c>
      <c r="E493" s="3" t="s">
        <v>515</v>
      </c>
      <c r="F493" s="3" t="s">
        <v>21</v>
      </c>
      <c r="G493" s="3" t="s">
        <v>803</v>
      </c>
      <c r="H493" s="4" t="s">
        <v>23</v>
      </c>
      <c r="I493" s="2">
        <v>41.0</v>
      </c>
      <c r="J493" s="2">
        <v>11846.0</v>
      </c>
      <c r="K493" s="3" t="s">
        <v>32</v>
      </c>
      <c r="L493" s="3" t="s">
        <v>181</v>
      </c>
      <c r="M493" s="4" t="s">
        <v>804</v>
      </c>
      <c r="N493" s="2">
        <v>31300.0</v>
      </c>
      <c r="O493" s="2">
        <v>30000.0</v>
      </c>
      <c r="P493" s="5">
        <v>41991.0</v>
      </c>
      <c r="Q493" s="3" t="s">
        <v>27</v>
      </c>
    </row>
    <row r="494" ht="22.5" customHeight="1">
      <c r="A494" s="2">
        <v>2015.0</v>
      </c>
      <c r="B494" s="3" t="s">
        <v>798</v>
      </c>
      <c r="C494" s="3" t="s">
        <v>801</v>
      </c>
      <c r="D494" s="4" t="s">
        <v>802</v>
      </c>
      <c r="E494" s="3" t="s">
        <v>515</v>
      </c>
      <c r="F494" s="3" t="s">
        <v>21</v>
      </c>
      <c r="G494" s="3" t="s">
        <v>805</v>
      </c>
      <c r="H494" s="4" t="s">
        <v>23</v>
      </c>
      <c r="I494" s="2">
        <v>42.0</v>
      </c>
      <c r="J494" s="2">
        <v>12242.0</v>
      </c>
      <c r="K494" s="3" t="s">
        <v>25</v>
      </c>
      <c r="L494" s="3" t="s">
        <v>24</v>
      </c>
      <c r="M494" s="4" t="s">
        <v>804</v>
      </c>
      <c r="N494" s="2">
        <v>31200.0</v>
      </c>
      <c r="O494" s="2">
        <v>30000.0</v>
      </c>
      <c r="P494" s="5">
        <v>41991.0</v>
      </c>
      <c r="Q494" s="3" t="s">
        <v>27</v>
      </c>
    </row>
    <row r="495" ht="22.5" customHeight="1">
      <c r="A495" s="2">
        <v>2015.0</v>
      </c>
      <c r="B495" s="3" t="s">
        <v>798</v>
      </c>
      <c r="C495" s="3" t="s">
        <v>801</v>
      </c>
      <c r="D495" s="4" t="s">
        <v>802</v>
      </c>
      <c r="E495" s="3" t="s">
        <v>515</v>
      </c>
      <c r="F495" s="3" t="s">
        <v>21</v>
      </c>
      <c r="G495" s="3" t="s">
        <v>806</v>
      </c>
      <c r="H495" s="4" t="s">
        <v>23</v>
      </c>
      <c r="I495" s="2">
        <v>37.0</v>
      </c>
      <c r="J495" s="2">
        <v>10906.0</v>
      </c>
      <c r="K495" s="3" t="s">
        <v>36</v>
      </c>
      <c r="L495" s="3" t="s">
        <v>25</v>
      </c>
      <c r="M495" s="4" t="s">
        <v>804</v>
      </c>
      <c r="N495" s="2">
        <v>31500.0</v>
      </c>
      <c r="O495" s="2">
        <v>30000.0</v>
      </c>
      <c r="P495" s="5">
        <v>41991.0</v>
      </c>
      <c r="Q495" s="3" t="s">
        <v>27</v>
      </c>
    </row>
    <row r="496" ht="22.5" customHeight="1">
      <c r="A496" s="2">
        <v>2015.0</v>
      </c>
      <c r="B496" s="3" t="s">
        <v>798</v>
      </c>
      <c r="C496" s="3" t="s">
        <v>801</v>
      </c>
      <c r="D496" s="4" t="s">
        <v>802</v>
      </c>
      <c r="E496" s="3" t="s">
        <v>515</v>
      </c>
      <c r="F496" s="3" t="s">
        <v>21</v>
      </c>
      <c r="G496" s="3" t="s">
        <v>807</v>
      </c>
      <c r="H496" s="4" t="s">
        <v>23</v>
      </c>
      <c r="I496" s="2">
        <v>37.0</v>
      </c>
      <c r="J496" s="2">
        <v>14806.0</v>
      </c>
      <c r="K496" s="3" t="s">
        <v>32</v>
      </c>
      <c r="L496" s="3" t="s">
        <v>181</v>
      </c>
      <c r="M496" s="4" t="s">
        <v>804</v>
      </c>
      <c r="N496" s="2">
        <v>30700.0</v>
      </c>
      <c r="O496" s="2">
        <v>30000.0</v>
      </c>
      <c r="P496" s="5">
        <v>41991.0</v>
      </c>
      <c r="Q496" s="3" t="s">
        <v>27</v>
      </c>
    </row>
    <row r="497" ht="22.5" customHeight="1">
      <c r="A497" s="2">
        <v>2015.0</v>
      </c>
      <c r="B497" s="3" t="s">
        <v>798</v>
      </c>
      <c r="C497" s="3" t="s">
        <v>801</v>
      </c>
      <c r="D497" s="4" t="s">
        <v>802</v>
      </c>
      <c r="E497" s="3" t="s">
        <v>515</v>
      </c>
      <c r="F497" s="3" t="s">
        <v>21</v>
      </c>
      <c r="G497" s="3" t="s">
        <v>808</v>
      </c>
      <c r="H497" s="4" t="s">
        <v>23</v>
      </c>
      <c r="I497" s="2">
        <v>41.0</v>
      </c>
      <c r="J497" s="2">
        <v>12273.0</v>
      </c>
      <c r="K497" s="3" t="s">
        <v>32</v>
      </c>
      <c r="L497" s="3" t="s">
        <v>181</v>
      </c>
      <c r="M497" s="4" t="s">
        <v>804</v>
      </c>
      <c r="N497" s="2">
        <v>31200.0</v>
      </c>
      <c r="O497" s="2">
        <v>30000.0</v>
      </c>
      <c r="P497" s="5">
        <v>41991.0</v>
      </c>
      <c r="Q497" s="3" t="s">
        <v>27</v>
      </c>
    </row>
    <row r="498" ht="22.5" customHeight="1">
      <c r="A498" s="2">
        <v>2015.0</v>
      </c>
      <c r="B498" s="3" t="s">
        <v>798</v>
      </c>
      <c r="C498" s="3" t="s">
        <v>809</v>
      </c>
      <c r="D498" s="4" t="s">
        <v>802</v>
      </c>
      <c r="E498" s="3" t="s">
        <v>20</v>
      </c>
      <c r="F498" s="3" t="s">
        <v>21</v>
      </c>
      <c r="G498" s="3" t="s">
        <v>810</v>
      </c>
      <c r="H498" s="4" t="s">
        <v>23</v>
      </c>
      <c r="I498" s="2">
        <v>41.0</v>
      </c>
      <c r="J498" s="2">
        <v>14282.0</v>
      </c>
      <c r="K498" s="3" t="s">
        <v>32</v>
      </c>
      <c r="L498" s="3" t="s">
        <v>25</v>
      </c>
      <c r="M498" s="4" t="s">
        <v>804</v>
      </c>
      <c r="N498" s="2">
        <v>27500.0</v>
      </c>
      <c r="O498" s="2">
        <v>27750.0</v>
      </c>
      <c r="P498" s="5">
        <v>42033.0</v>
      </c>
      <c r="Q498" s="3" t="s">
        <v>27</v>
      </c>
    </row>
    <row r="499" ht="22.5" customHeight="1">
      <c r="A499" s="2">
        <v>2015.0</v>
      </c>
      <c r="B499" s="3" t="s">
        <v>798</v>
      </c>
      <c r="C499" s="3" t="s">
        <v>811</v>
      </c>
      <c r="D499" s="4" t="s">
        <v>812</v>
      </c>
      <c r="E499" s="3" t="s">
        <v>515</v>
      </c>
      <c r="F499" s="3" t="s">
        <v>21</v>
      </c>
      <c r="G499" s="3" t="s">
        <v>813</v>
      </c>
      <c r="H499" s="4" t="s">
        <v>23</v>
      </c>
      <c r="I499" s="2">
        <v>48.0</v>
      </c>
      <c r="J499" s="2">
        <v>12725.0</v>
      </c>
      <c r="K499" s="3" t="s">
        <v>181</v>
      </c>
      <c r="L499" s="3" t="s">
        <v>181</v>
      </c>
      <c r="M499" s="4" t="s">
        <v>804</v>
      </c>
      <c r="N499" s="2">
        <v>32300.0</v>
      </c>
      <c r="O499" s="2">
        <v>32500.0</v>
      </c>
      <c r="P499" s="5">
        <v>42047.0</v>
      </c>
      <c r="Q499" s="3" t="s">
        <v>27</v>
      </c>
    </row>
    <row r="500" ht="22.5" customHeight="1">
      <c r="A500" s="2">
        <v>2015.0</v>
      </c>
      <c r="B500" s="3" t="s">
        <v>798</v>
      </c>
      <c r="C500" s="3" t="s">
        <v>811</v>
      </c>
      <c r="D500" s="4" t="s">
        <v>812</v>
      </c>
      <c r="E500" s="3" t="s">
        <v>515</v>
      </c>
      <c r="F500" s="3" t="s">
        <v>21</v>
      </c>
      <c r="G500" s="3" t="s">
        <v>814</v>
      </c>
      <c r="H500" s="4" t="s">
        <v>23</v>
      </c>
      <c r="I500" s="2">
        <v>42.0</v>
      </c>
      <c r="J500" s="2">
        <v>16506.0</v>
      </c>
      <c r="K500" s="3" t="s">
        <v>173</v>
      </c>
      <c r="L500" s="3" t="s">
        <v>173</v>
      </c>
      <c r="M500" s="4" t="s">
        <v>804</v>
      </c>
      <c r="N500" s="2">
        <v>32100.0</v>
      </c>
      <c r="O500" s="2">
        <v>32500.0</v>
      </c>
      <c r="P500" s="5">
        <v>42061.0</v>
      </c>
      <c r="Q500" s="3" t="s">
        <v>27</v>
      </c>
    </row>
    <row r="501" ht="22.5" customHeight="1">
      <c r="A501" s="2">
        <v>2015.0</v>
      </c>
      <c r="B501" s="3" t="s">
        <v>798</v>
      </c>
      <c r="C501" s="3" t="s">
        <v>801</v>
      </c>
      <c r="D501" s="4" t="s">
        <v>802</v>
      </c>
      <c r="E501" s="3" t="s">
        <v>515</v>
      </c>
      <c r="F501" s="3" t="s">
        <v>21</v>
      </c>
      <c r="G501" s="3" t="s">
        <v>815</v>
      </c>
      <c r="H501" s="4" t="s">
        <v>23</v>
      </c>
      <c r="I501" s="2">
        <v>4.0</v>
      </c>
      <c r="J501" s="2">
        <v>13623.0</v>
      </c>
      <c r="K501" s="3" t="s">
        <v>36</v>
      </c>
      <c r="L501" s="3" t="s">
        <v>25</v>
      </c>
      <c r="M501" s="4" t="s">
        <v>804</v>
      </c>
      <c r="N501" s="2">
        <v>28400.0</v>
      </c>
      <c r="O501" s="2">
        <v>28000.0</v>
      </c>
      <c r="P501" s="5">
        <v>42061.0</v>
      </c>
      <c r="Q501" s="3" t="s">
        <v>27</v>
      </c>
    </row>
  </sheetData>
  <dataValidations>
    <dataValidation type="list" allowBlank="1" showDropDown="1" showErrorMessage="1" sqref="B2:B501">
      <formula1>"Kia,Hyundai,Nissan,Volkswagen,Toyota,Audi,Bmw,Chevrolet,Infiniti,Jeep,Mazda,Mercedes-Benz,Lexus,Volvo,Mitsubishi,Mini,Land Rover,Lincoln,Ford,Acura,Jaguar,Cadillac,Buick"</formula1>
    </dataValidation>
    <dataValidation type="list" allowBlank="1" showDropDown="1" showErrorMessage="1" sqref="K2:K501">
      <formula1>"Red,White,Silver,Gray,Black,Gold,Yellow,Blue,Burgundy,Purple,Beige,Charcoal,Green,Brown"</formula1>
    </dataValidation>
    <dataValidation type="list" allowBlank="1" showDropDown="1" showErrorMessage="1" sqref="Q2:Q501">
      <formula1>"Tuesday,Wednesday,Thursday,Friday"</formula1>
    </dataValidation>
    <dataValidation type="list" allowBlank="1" showDropDown="1" showErrorMessage="1" sqref="G2:G501">
      <formula1>"5XXGM4A73FG353538,5XYKT3A62FG579841,5NPDH4AE2FH565969,5NPDH4AE8FH565992,KM8SRDHF0DU002596,KMHGC4DH7DU220016,KMHDH4AE9DU490167,KM8SRDHF8DU000644,5NPDH4AE5DH342001,5NPDH4AE9DH235016,KMHEC4A46DA091860,5XYZTDLB9DG057378,KM8SR4HF7DU008024,KMHEC4A48DA092248,5NP"&amp;"DH4AE8DH345667,5XYZW3LA5DG114166,5NPEC4AC2DH608074,KMHTC6AE4DU168333,KMHDH6AE8DU000216,KMHEC4A41DA089739,KMHCT5AE4DU128991,5NPDH4AE4DH388614,KMHFG4JGXDA201053,5XYZWDLA8DG094937,5NPDH4AE0DH320214,KMHEC4A46DA091339,KM8JU3AC4DU587297,KMHDH4AE2DU972303,KMHFG4"&amp;"JG8DA325905,KMHEC4A49DA092260,KMHFH4JG7DA330493,KMHGC4DH8DU258211,KMHGH4JH3DU064689,5NPDH4AE7DH327127,KMHDH4AE7DU946909,KMHTC6AE3DU146243,KMHEC4A4XDA091084,5NPEB4AC3DH722331,KMHFH4JG5DA257916,KMHEC4A4XDA091246,KMHCT4AE6DU523099,KMHCU5AE2DU138898,KMHGC4DD2"&amp;"DU221961,5XYZU3LAXDG105372,KMHDH4AE4DU797598,KMHGC4DD0DU214801,5NPDH4AE9DH243696,5XYZWDLA5DG083054,KMHCU5AE3DU079747,KMHEC4A46DA093060,5NPEB4ACXDH740633,KMHTC6AD7DU089181,5NPDH4AE7DH345708,5NPEB4AC2DH745910,KM8SR4HF1DU031590,KMHHU6KJ0DU110296,KMHEC4A48DA0"&amp;"91908,KMHGC4DH6DU220492,KM8JU3AC6DU590752,KMHEC4A46DA099621,KMHDH4AEXDU731797,KMHEC4A40DA092843,5NPDH4AE7DH225536,KMHGC4DD7DU226203,5XYZU3LA5DG079070,5NPEC4AC9DH600084,5NPDH4AEXDH317398,1N4AL3AP6DC903319,5XXGM4A72DG248132,KNDJT2A54D7539154,5XXGR4A68DG2286"&amp;"40,KNADN5A32D6147221,KNDJT2A64D7494239,KNADM5A38D6292461,5XXGM4A70DG226694,KNAGM4A75D5442817,5XXGR4A61DG178423,KNAFU4A20D5658140,1VWBP7A36DC103091,5YFBU4EE5DP216754,5XYKTCA69FG566472,5XYKTCA69FG561319,WAUHGAFC0EN062916,5XYKTCA66FG561407,5XYKTCA60FG565226,"&amp;"5XYKTCA68FG559481,5XYKTCA67FG570973,5XYKTCA63FG570727,5XYKTCA6XFG560888,WBA6B2C53ED128866,5XYKTCA68FG570979,5XYKTCA65FG571619,WBA3N7C55EF719079,5XYKTCA64FG570963,5XYKTCA60FG563086,5XYKTCA67FG567068,2G1FE1E34E9190976,5XYKTCA64FG570672,5XYKTCA60FG570829,5XY"&amp;"KTCA61FG560973,5XYKTCA61FG566806,5NPDH4AE4DH327134,JN1CV6APXDM713003,5NPDH4AE0DH335103,KMHCT4AE3DU421257,JN1CV6AP3DM711108,JN1CV6EK1DM921866,5NPEB4AC9DH760050,JN1CV6AP5DM713782,5NPDH4AE0DH344075,5NPDH4AE8DH375848,5NPEB4AC7DH680813,5NPDH4AE5DH363852,5NPEB4"&amp;"ACXDH745962,5NPEB4AC3DH734477,JN1CV6EK0DM921180,1C4BJWFG4DL585036,KNAGM4AD1D5057809,1N4AL3AP3DN535427,1N4AL3AP4DN454940,KNAGM4AD9D5054379,1N4AL3AP9DC280391,1N4AL3AP5DC205039,JM1DE1LZ0D0160159,KNAGM4AD6D5055554,JN1AZ4FH8DM790096,5XYKTDA2XDG322880,1N4AL3AP0"&amp;"DN511313,1N4AL3AP2DN571447,JN1AZ4EH8DM881810,1N4AL2EP0DC290165,JM1BL1VP7D1768022,JM1CW2CL1D0150492,JM1BL1UPXD1794194,JM3TB2CV0D0411079,KNAGM4AD4D5057867,JM1CW2BL1D0154950,KNADM4A35D6233930,KNAGM4AD0D5055811,1C4RJEBG1DC636460,KNAGM4AD1D5055882,KNAGM4AD0D50"&amp;"57798,JM1CW2BL6D0159321,WDDGF4HB0DR255362,1N4AL3AP0DC283888,1N4AL3AP8DN508594,KNAGM4AD8D5056639,KNDPB3A28D7450308,5XYKU3A23DG334585,5XYKT4A22DG332853,JN1CV6AR7DM351570,JM1BL1UP7D1731716,JN1CV6AP3DM720746,2T2BK1BA8DC191589,JM1CW2BL0D0149559,WDDGF4HB8DR2566"&amp;"94,1N4AL3AP3DC208697,JTHBK1GG3D2061489,YV4940DL7D2432124,5TDKK3DC4DS344460,1G1PC5SB2E7128460,2G1FB1E31E9248986,1G1PE5SB3E7406616,5NPEB4AC5DH682009,KMHCT4AE4DU422188,5XXGN4A7XDG106558,KNDJT2A68D7570612,5NPDH4AE0DH356789,5NPEB4AC8DH687043,5XXGR4A65DG171118,"&amp;"5XYKW4A26DG339716,WBSFV9C51ED593089,WBAYP9C53ED169260,WBA6B2C51ED129563,3N1CN7AP7FL842707,1G1PE5SB5E7115504,5NPDH4AE4FH552981,WBAYP9C53ED169288,3GCPCRECXEG363552,1G1PE5SB4E7109323,JN1CV6AP4DM712848,5NPDH4AE8DH348469,5NPEB4AC9DH691294,5NPEB4AC4DH712021,5NP"&amp;"EB4AC5DH771160,JN1CV6APXDM715446,5NPDH4AE0DH358462,5NPEB4AC5DH743407,JN1CV6AP5DM715158,JN1CV6AP0DM712524,JN1CV6APXDM712482,JN1CV6EK9DM921386,JN1CV6APXDM717651,JN1CV6AP0DM714760,5NPEB4AC6DH743092,JN1CV6AP2DM714338,JTHBE1BL9D5002103,1N4AL3AP2DC275940,JN1CV6"&amp;"AP5DM715922,KNADM4A3XD6124671,4A4AR5AU4DE024456,JM1BL1TG8D1728177,WMWZF3C54DT489938,1N4AL3AP1DN536852,5N1AL0MM4DC337764,1N4AL3APXDN538325,1N4AL3AP4DC259156,1N4AL3AP5DN450766,JN1CV6EL5DM980105,1N4AL2EP2DC219971,WMWSU3C59DT548117,SALVP2BG5DH781072,JN1CV6AP1"&amp;"DM301617,JN1CV6AP9DM300540,KNDPBCA25D7406217,1N4AL3AP5DC259084,5XXGM4A7XDG238335,2LMDJ8JK9DBL34528,1N4AL2EP3DC223558,5XXGM4A7XDG214617,1N4AL3AP8DC187703,1N4AL3AP8DC261914,WMWZF3C50DT489905,1N4AL3APXDC256245,KNADM4A31D6173631,JTHBE1BL4D5006057,3FA6P0H7XFR1"&amp;"51689,5NPDH4AE0FH574105,5NPDH4AE4DH385955,5NPEB4ACXDH744455,5NPEB4ACXDH752037,5NPEB4AC5DH745416,5NPDH4AE1DH345719,1N4AL3AP2DC297887,JA4JT3AW9DU020286,JA4JT3AW7DU019962,JM3TB2CA2D0403904,JA4JT3AW4DU020776,JA32U2FU2DU019813,WAUFFAFL3EN030343,2G1FB1E35E92383"&amp;"02,WAUCGAFRXEA001689,1GNSKKKC3FR187901,19VDE1F70EE008913,WBSFV9C51ED097712,2G1FB1E35E9238493,2G1FB1E33E9211499,TRUB1AFK9E1007640,5FRYD3H83EB011004,1G1PE5SB8E7420706,3GCUKREC9EG452373,19VDE1F38EE011281,5NPDH4AE2DH375957,KMHCT5AE8DU091850,5NPEB4AC5DH648748,"&amp;"JM1DE1KZ8D0152764,JTHBK1GG1D2049728,KNAFT4A28D5738465,1C4NJCEB2DD229860,KNADM4A34D6310898,1C4NJCEB7DD255239,WDCGG5HB6DF956724,4JGDF7CE3DA182451,4JGDF7CE8DA148599,KNADN5A33D6283020,SALVP1BG7DH775994,WDDNG7DB5DA525549,WBA6B2C57ED129731,WA1LFAFPXEA085074,WAU"&amp;"ACGFF7F1002327,YV1612SB9F1202043,5UXFG2C53E0H11080,YV1612SB1F1201503,YV1612SBXF1202276,WAUACGFF1F1002467,WBAVM1C53EVW47779,WBSFV9C54ED593085,YV1612SB6F1202338,WBAYP9C59ED169280,5UXKR0C54E0K49204,YV1612SB2F1201221,JN1CV6EK4DM921604,JN1CV6AP3DM726059,JN1CV6"&amp;"APXDM714541,JN1CV6EK8DM920763,JN1CV6EK8DM900321,JN1CV6AP5DM714009,JN1CV6AP5DM713958,JN8CS1MU2DM140046,JN1CV6EK0DM900927,JN1CV6AP9DM712232,JN1CV6EK0DM920093,JN1CV6AP0DM725418,JN1CV6AP2DM714887,JN1CV6AP2DM712055,JN1CV6AP5DM713801,JN1CV6AP2DM712170,JN1CV6APX"&amp;"DM712417,JN1CV6AP4DM303216,JN1CV6AP9DM300442,JN1CV6APXDM712403,JN1CV6AP8DM717292,JN1CV6AP6DM714973,JN1CV6AP9DM719505,JN1CV6AP8DM711170,JN1CV6EK3DM921383,JN1CV6EKXDM920134,JN1CV6AP4DM301420,JN1CV6AP0DM711499,JN1CV6AP1DM712628,JN1CV6AP8DM716627,JN1CV6AP3DM7"&amp;"13263,JN1CV6AP6DM711376,JN1CV6AP7DM711712,JN1CV6EK2DM920760,JN1CV6APXDM714507,JN1CV6AP0DM713933,JN1CV6AP4DM302678,JN1CV6AP3DM301392,JN1CV6EK5DM920106,JN1CV6APXDM714605,JN1CV6AP7DM713816,JN1CV6AP1DM712273,JN1CV6AP5DM721977,JN1CV6AP3DM710802,JN1CV6AP4DM7152"&amp;"50,JN1CV6AP0DM714516,JN1CV6APXDM300417,JN1CV6AP3DM714428,JN1CV6EK7DM921385,JN1CV6AP2DM714792,JN1CV6EK3DM920766,JN1CV6AP1DM719644,JN1CV6APXDM710375,JN1CV6AP8DM301100,JN1CV6AP8DM712058,JN1CV6EKXDM921560,JN1CV6AP1DM714069,JN1CV6EK5DM900664,JN1CV6AP9DM713509,"&amp;"JN1CV6AP6DM715699,JN1CV6AP9DM716121,JN1CV6AP5DM720571,JN1CV6AP7DM301475,JN1CV6AP1DM711625,JN1CV6AP1DM716758,JN1CV6AP0DM300670,JN1CV6APXDM714264,JN1CV6AP3DM719922,JN1CV6AP6DM712365,JN1CV6AP5DM711210,JN1CV6AP0DM711549,JN1CV6AP3DM710234,JN1CV6AP3DM710394,JN1"&amp;"CV6AP7DM710365,JN1CV6APXDM714880,JN1CV6AP3DM713554,JN1CV6AP5DM713250,JN1CV6AP7DM716733,JN1CV6AP4DM712607,JN1CV6EK5DM920784,JN1CV6EK5DM920672,JN1CV6AP1DM711334,JN1CV6AP4DM714969,JN1CV6AP9DM714417,JN1CV6AP8DM715803,JN1CV6AP8DM712593,JN1CV6AP3DM713666,JN1CV6"&amp;"AP3DM712825,JN1CV6AP2DM712928,WDDGF4HB8DA832718,JN1CV6AP2DM712931,JN1CV6AP9DM712909,JN1CV6AR0DM750465,SALAK2D48DA693027,JN1CV6AR5DM750574,JN1BY1AP3DM514252,JN1CV6ARXDM750005,JN1CV6AP6DM712706,WDDNG7DB9DA492877,JN1CV6AP1DM300564,SAJWA0ES1DPS79829,SAJWA0ES4"&amp;"DPS64029,4JGDA5JB8DA218923,WDDNG7DB8DA497438,SALVR2BG6DH755364,5XXGR4A6XDG089207,WDDGF4HB2DR241947,JN1CV6EK1DM920250,JN1BY1AP2DM514632,SALSH2E49DA763586,WDDHF5KB1DA703044,WDDKJ5KB4DF191416,JTHBE1BL4D5001280,JN1BY1AP6DM514665,WDDHF5KB6DA718574,JN1CV6AP8DM7"&amp;"16708,1N4AL3AP5FC124223,WAUACGFF6F1029938,3GYFNBE32ES536307,KMHCT4AE9DU436426,KNAFU4A22D5724414,WBSFV9C55ED593080,JN1CV6APXDM712658,JN1CV6AP5DM714785,JN1CV6AP9DM715258,JN8CS1MW7DM174050,JN1CV6AP2DM712489,5NPDH4AE7DH339679,JN1CV6AP0DM712653,JN1CV6AR5DM3500"&amp;"59,JM1CW2CL5D0150799,WMWSU3C58DT546181,1N4AL2EP0DC231309,JM1CW2BL4D0152478,JN8AF5MV4DT218618,2T2ZK1BA7FC155782,1N4AL3AP1FN326013,1N4AL3AP1FN331213,5GAKRBKD2EJ294045,1G1PC5SB2E7105471,WAURGAFD8EN003111,KMHGH4JH5DU065956,WDDGF4HB3DR256859,1N4AL3AP4DN548218,"&amp;"JTHGL1EFXD5047925,1N4AL3AP4FN310470,5NPEB4AC1DH733036,JTDKTUD33DD552876,2G1FA1E39E9134494,1C4HJWEG8DL539625,KNDJT2A60D7538561,1C4HJWDG9DL604791,1C4HJWDG3DL620646,1N4AL3AP1DC259891,5NPEB4AC1DH680502,5XYZTDLB2DG045704,JA4JT3AW5DU020785,KNADM4A36D6256603,JM3"&amp;"TB3CV9D0410440,JM3TB2CV8D0412139,WMWZB3C52DWM07005,1N4AL3AP6DN518833,WBAYP9C50ED169281,WBAYP9C57ED169262,WBAYP9C55ED169261,JA32V6FV9DU003475,2G1FB1E37E9270877,1N4AL3AP5DC262583,1N4AL2EP6DC191432,WBSFV9C56ED593069,5NPEC4AC6DH513954,3FA6P0HDXFR145753,3N1CE2"&amp;"CP8FL371361,KMHGH4JH9DU063479,5NPDH4AEXDH303629,KNAFT4A26D5682378,JN1CV6EK2DM923402,KNAFT4A2XD5718881,5XXGR4A61DG171696,5NPDH4AE2FH566023,KNADM4A3XD6113380,JTHBE1BL6D5006836,1G11D5SL6FU106427,1G1PE5SB0E7134820,WBA3C1C51EK116351,WBA3C1C58EK106688,WBAXA5C52"&amp;"ED689665,JN1CV6AP9DM711176,WDDHF5KB8DA762334,WDDGJ4HBXDF943918,WDDGJ4HBXDG003743,WDDGJ4HB6DF988399,WDDNG7DB5DA496778,JN1BY1AP5DM514530,WDDGJ4HB5DF998504,2G1FB3D37E9218789,KNALW4D42F6018633,5XXGR4A64DG097254,JTHBE1BL4D5013929,1G1PE5SB6E7118217,KMHDH6AE8DU0"&amp;"17422,KMHEC4A40DA089523,5NPEB4AC0DH721038,5NPDH4AE2DH264292,5NPEB4AC7DH636875,WA1CGAFP4EA030312,YV1612TB4F1310987,WDDNG7DB2DA502214,WDDNG7DB3DA492051,WDDNG7DB4DA498361,WBA5A5C51ED501631,1G6RR1E48EU601450,1G1PE5SB4E7102937,YV4902NB3F1196951,5NPEC4AB6DH5397"&amp;"98,KNALW4D42F6019667,YV4902NB3F1198103,YV1612SB8F1201529,2G1165S30F9103921"</formula1>
    </dataValidation>
    <dataValidation type="custom" allowBlank="1" showDropDown="1" sqref="P2:P501">
      <formula1>OR(NOT(ISERROR(DATEVALUE(P2))), AND(ISNUMBER(P2), LEFT(CELL("format", P2))="D"))</formula1>
    </dataValidation>
    <dataValidation type="list" allowBlank="1" showDropDown="1" showErrorMessage="1" sqref="F2:F501">
      <formula1>"automatic,manual"</formula1>
    </dataValidation>
    <dataValidation type="custom" allowBlank="1" showDropDown="1" sqref="A2:A501 I2:J501 N2:O501">
      <formula1>AND(ISNUMBER(A2),(NOT(OR(NOT(ISERROR(DATEVALUE(A2))), AND(ISNUMBER(A2), LEFT(CELL("format", A2))="D")))))</formula1>
    </dataValidation>
    <dataValidation type="list" allowBlank="1" showDropDown="1" showErrorMessage="1" sqref="E2:E501">
      <formula1>"Sedan,Suv,Hatchback,Elantra Coupe,Genesis Coupe,Wagon,Coupe,G Sedan,G Coupe,Convertible,Minivan,Crew Cab"</formula1>
    </dataValidation>
    <dataValidation type="list" allowBlank="1" showDropDown="1" showErrorMessage="1" sqref="L2:L501">
      <formula1>"Tan,Black,Gray,Beige,Brown,Burgundy,White"</formula1>
    </dataValidation>
    <dataValidation type="list" allowBlank="1" showDropDown="1" showErrorMessage="1" sqref="C2:C501">
      <formula1>"Optima,Sorento,Elantra,Santa Fe,Genesis,Sonata Hybrid,Sonata,Veloster,Elantra Coupe,Accent,Azera,Tucson,Equus,Genesis Coupe,Altima,Soul,Rio,Forte,Passat,Corolla,A6,6 Series Gran Coupe,4 Series,Camaro,G Sedan,G Coupe,Wrangler,Mazda2,370Z,Mazda3,Mazda5,Cx-9"&amp;",Grand Cherokee,C-Class,Sportage,Rx 350,Es 350,Xc60,Sienna,Cruze,M5,6 Series,Versa,Silverado 1500,Gs 350,Outlander Sport,Cooper Clubman,Jx,Cooper,Range Rover Evoque,Mkx,Fusion,Outlander,Lancer,A4,S5,Suburban,Ilx,Tts,Mdx,Compass,Glk-Class,Gl-Class,S-Class,"&amp;"Q5,A3,V60,X6,X1,X5,Fx,Lr4,M,Xf,M-Class,Range Rover Sport,E-Class,Srx,Juke,Enclave,A8,Ls 460,Yaris,Cooper Countryman,Versa Note,Malibu,3 Series,5 Series,K900,Sq5,S60,Elr,Xc70,Impala"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4.5"/>
    <col customWidth="1" min="2" max="2" width="24.88"/>
    <col customWidth="1" min="3" max="3" width="25.88"/>
    <col customWidth="1" min="4" max="4" width="15.13"/>
  </cols>
  <sheetData>
    <row r="1">
      <c r="A1" s="6" t="s">
        <v>816</v>
      </c>
    </row>
    <row r="2">
      <c r="A2" s="7"/>
      <c r="B2" s="7"/>
      <c r="C2" s="7"/>
      <c r="D2" s="7"/>
    </row>
    <row r="3" ht="22.5" customHeight="1">
      <c r="A3" s="8" t="s">
        <v>817</v>
      </c>
      <c r="B3" s="8" t="s">
        <v>818</v>
      </c>
      <c r="C3" s="8" t="s">
        <v>819</v>
      </c>
      <c r="D3" s="8" t="s">
        <v>820</v>
      </c>
    </row>
    <row r="4" ht="22.5" customHeight="1">
      <c r="A4" s="9" t="s">
        <v>336</v>
      </c>
      <c r="B4" s="10">
        <v>3155650.0</v>
      </c>
      <c r="C4" s="11">
        <v>23906.44</v>
      </c>
      <c r="D4" s="12">
        <v>132.0</v>
      </c>
    </row>
    <row r="5" ht="22.5" customHeight="1">
      <c r="A5" s="13" t="s">
        <v>182</v>
      </c>
      <c r="B5" s="14">
        <v>1663500.0</v>
      </c>
      <c r="C5" s="15">
        <v>14852.68</v>
      </c>
      <c r="D5" s="16">
        <v>112.0</v>
      </c>
    </row>
    <row r="6" ht="22.5" customHeight="1">
      <c r="A6" s="9" t="s">
        <v>72</v>
      </c>
      <c r="B6" s="10">
        <v>1232001.0</v>
      </c>
      <c r="C6" s="11">
        <v>56000.05</v>
      </c>
      <c r="D6" s="12">
        <v>22.0</v>
      </c>
    </row>
    <row r="7" ht="22.5" customHeight="1">
      <c r="A7" s="13" t="s">
        <v>506</v>
      </c>
      <c r="B7" s="14">
        <v>1050450.0</v>
      </c>
      <c r="C7" s="15">
        <v>16160.77</v>
      </c>
      <c r="D7" s="16">
        <v>65.0</v>
      </c>
    </row>
    <row r="8" ht="22.5" customHeight="1">
      <c r="A8" s="9" t="s">
        <v>662</v>
      </c>
      <c r="B8" s="10">
        <v>858250.0</v>
      </c>
      <c r="C8" s="11">
        <v>35760.42</v>
      </c>
      <c r="D8" s="12">
        <v>24.0</v>
      </c>
    </row>
    <row r="9" ht="22.5" customHeight="1">
      <c r="A9" s="13" t="s">
        <v>729</v>
      </c>
      <c r="B9" s="14">
        <v>510400.0</v>
      </c>
      <c r="C9" s="15">
        <v>13431.58</v>
      </c>
      <c r="D9" s="16">
        <v>38.0</v>
      </c>
    </row>
    <row r="10" ht="22.5" customHeight="1">
      <c r="A10" s="9" t="s">
        <v>128</v>
      </c>
      <c r="B10" s="10">
        <v>377350.0</v>
      </c>
      <c r="C10" s="11">
        <v>17152.27</v>
      </c>
      <c r="D10" s="12">
        <v>22.0</v>
      </c>
    </row>
    <row r="11" ht="22.5" customHeight="1">
      <c r="A11" s="13" t="s">
        <v>37</v>
      </c>
      <c r="B11" s="14">
        <v>365050.0</v>
      </c>
      <c r="C11" s="15">
        <v>36505.0</v>
      </c>
      <c r="D11" s="16">
        <v>10.0</v>
      </c>
    </row>
    <row r="12" ht="22.5" customHeight="1">
      <c r="A12" s="9" t="s">
        <v>609</v>
      </c>
      <c r="B12" s="10">
        <v>359700.0</v>
      </c>
      <c r="C12" s="11">
        <v>35970.0</v>
      </c>
      <c r="D12" s="12">
        <v>10.0</v>
      </c>
    </row>
    <row r="13" ht="22.5" customHeight="1">
      <c r="A13" s="13" t="s">
        <v>798</v>
      </c>
      <c r="B13" s="14">
        <v>293650.0</v>
      </c>
      <c r="C13" s="15">
        <v>29365.0</v>
      </c>
      <c r="D13" s="16">
        <v>10.0</v>
      </c>
    </row>
    <row r="14" ht="22.5" customHeight="1">
      <c r="A14" s="9" t="s">
        <v>632</v>
      </c>
      <c r="B14" s="10">
        <v>219300.0</v>
      </c>
      <c r="C14" s="11">
        <v>13706.25</v>
      </c>
      <c r="D14" s="12">
        <v>16.0</v>
      </c>
    </row>
    <row r="15" ht="22.5" customHeight="1">
      <c r="A15" s="13" t="s">
        <v>594</v>
      </c>
      <c r="B15" s="14">
        <v>207000.0</v>
      </c>
      <c r="C15" s="15">
        <v>41400.0</v>
      </c>
      <c r="D15" s="16">
        <v>5.0</v>
      </c>
    </row>
    <row r="16" ht="22.5" customHeight="1">
      <c r="A16" s="9" t="s">
        <v>488</v>
      </c>
      <c r="B16" s="10">
        <v>166150.0</v>
      </c>
      <c r="C16" s="11">
        <v>23735.71</v>
      </c>
      <c r="D16" s="12">
        <v>7.0</v>
      </c>
    </row>
    <row r="17" ht="22.5" customHeight="1">
      <c r="A17" s="13" t="s">
        <v>715</v>
      </c>
      <c r="B17" s="14">
        <v>102100.0</v>
      </c>
      <c r="C17" s="15">
        <v>14585.71</v>
      </c>
      <c r="D17" s="16">
        <v>7.0</v>
      </c>
    </row>
    <row r="18" ht="22.5" customHeight="1">
      <c r="A18" s="9" t="s">
        <v>17</v>
      </c>
      <c r="B18" s="10">
        <v>83150.0</v>
      </c>
      <c r="C18" s="11">
        <v>27716.67</v>
      </c>
      <c r="D18" s="12">
        <v>3.0</v>
      </c>
    </row>
    <row r="19" ht="22.5" customHeight="1">
      <c r="A19" s="13" t="s">
        <v>120</v>
      </c>
      <c r="B19" s="14">
        <v>74000.0</v>
      </c>
      <c r="C19" s="15">
        <v>37000.0</v>
      </c>
      <c r="D19" s="16">
        <v>2.0</v>
      </c>
    </row>
    <row r="20" ht="22.5" customHeight="1">
      <c r="A20" s="9" t="s">
        <v>706</v>
      </c>
      <c r="B20" s="10">
        <v>70300.0</v>
      </c>
      <c r="C20" s="11">
        <v>14060.0</v>
      </c>
      <c r="D20" s="12">
        <v>5.0</v>
      </c>
    </row>
    <row r="21" ht="22.5" customHeight="1">
      <c r="A21" s="13" t="s">
        <v>483</v>
      </c>
      <c r="B21" s="14">
        <v>52000.0</v>
      </c>
      <c r="C21" s="15">
        <v>26000.0</v>
      </c>
      <c r="D21" s="16">
        <v>2.0</v>
      </c>
    </row>
    <row r="22" ht="22.5" customHeight="1">
      <c r="A22" s="9" t="s">
        <v>785</v>
      </c>
      <c r="B22" s="10">
        <v>35000.0</v>
      </c>
      <c r="C22" s="11">
        <v>11666.67</v>
      </c>
      <c r="D22" s="12">
        <v>3.0</v>
      </c>
    </row>
    <row r="23" ht="22.5" customHeight="1">
      <c r="A23" s="13" t="s">
        <v>629</v>
      </c>
      <c r="B23" s="14">
        <v>24500.0</v>
      </c>
      <c r="C23" s="15">
        <v>24500.0</v>
      </c>
      <c r="D23" s="16">
        <v>1.0</v>
      </c>
    </row>
    <row r="24" ht="22.5" customHeight="1">
      <c r="A24" s="9" t="s">
        <v>116</v>
      </c>
      <c r="B24" s="10">
        <v>24100.0</v>
      </c>
      <c r="C24" s="11">
        <v>24100.0</v>
      </c>
      <c r="D24" s="12">
        <v>1.0</v>
      </c>
    </row>
    <row r="25" ht="22.5" customHeight="1">
      <c r="A25" s="13" t="s">
        <v>176</v>
      </c>
      <c r="B25" s="14">
        <v>24000.0</v>
      </c>
      <c r="C25" s="15">
        <v>12000.0</v>
      </c>
      <c r="D25" s="16">
        <v>2.0</v>
      </c>
    </row>
    <row r="26" ht="22.5" customHeight="1">
      <c r="A26" s="9" t="s">
        <v>793</v>
      </c>
      <c r="B26" s="10">
        <v>8000.0</v>
      </c>
      <c r="C26" s="11">
        <v>8000.0</v>
      </c>
      <c r="D26" s="12">
        <v>1.0</v>
      </c>
    </row>
    <row r="27" ht="22.5" customHeight="1">
      <c r="A27" s="17" t="s">
        <v>821</v>
      </c>
      <c r="B27" s="18">
        <f>SUM(B4:B26)</f>
        <v>10955601</v>
      </c>
      <c r="C27" s="19">
        <f>AVERAGE(C4:C26)</f>
        <v>24242.40087</v>
      </c>
      <c r="D27" s="17">
        <f>SUM(D4:D26)</f>
        <v>500</v>
      </c>
    </row>
  </sheetData>
  <mergeCells count="1">
    <mergeCell ref="A1:D1"/>
  </mergeCells>
  <dataValidations>
    <dataValidation type="custom" allowBlank="1" showDropDown="1" sqref="B4:C27">
      <formula1>AND(ISNUMBER(B4),(NOT(OR(NOT(ISERROR(DATEVALUE(B4))), AND(ISNUMBER(B4), LEFT(CELL("format", B4))="D")))))</formula1>
    </dataValidation>
  </dataValidations>
  <printOptions horizontalCentered="1"/>
  <pageMargins bottom="0.75" footer="0.0" header="0.0" left="0.7" right="0.7" top="0.75"/>
  <pageSetup fitToHeight="0" paperSize="9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2.75"/>
    <col customWidth="1" min="3" max="3" width="19.0"/>
  </cols>
  <sheetData>
    <row r="1">
      <c r="A1" s="20" t="s">
        <v>822</v>
      </c>
      <c r="D1" s="21"/>
    </row>
    <row r="2">
      <c r="A2" s="22"/>
      <c r="B2" s="23"/>
      <c r="C2" s="23"/>
    </row>
    <row r="3" ht="22.5" customHeight="1">
      <c r="A3" s="24" t="s">
        <v>823</v>
      </c>
      <c r="B3" s="25" t="s">
        <v>824</v>
      </c>
      <c r="C3" s="25" t="s">
        <v>825</v>
      </c>
    </row>
    <row r="4" ht="22.5" customHeight="1">
      <c r="A4" s="26" t="s">
        <v>336</v>
      </c>
      <c r="B4" s="27" t="s">
        <v>337</v>
      </c>
      <c r="C4" s="27">
        <v>104.0</v>
      </c>
    </row>
    <row r="5" ht="22.5" customHeight="1">
      <c r="A5" s="26" t="s">
        <v>182</v>
      </c>
      <c r="B5" s="27" t="s">
        <v>183</v>
      </c>
      <c r="C5" s="27">
        <v>34.0</v>
      </c>
    </row>
    <row r="6" ht="22.5" customHeight="1">
      <c r="A6" s="26" t="s">
        <v>729</v>
      </c>
      <c r="B6" s="27" t="s">
        <v>730</v>
      </c>
      <c r="C6" s="27">
        <v>33.0</v>
      </c>
    </row>
    <row r="7" ht="22.5" customHeight="1">
      <c r="A7" s="26" t="s">
        <v>182</v>
      </c>
      <c r="B7" s="27" t="s">
        <v>210</v>
      </c>
      <c r="C7" s="27">
        <v>26.0</v>
      </c>
    </row>
    <row r="8" ht="22.5" customHeight="1">
      <c r="A8" s="26" t="s">
        <v>506</v>
      </c>
      <c r="B8" s="27" t="s">
        <v>511</v>
      </c>
      <c r="C8" s="27">
        <v>22.0</v>
      </c>
    </row>
    <row r="9" ht="22.5" customHeight="1">
      <c r="A9" s="26" t="s">
        <v>506</v>
      </c>
      <c r="B9" s="27" t="s">
        <v>507</v>
      </c>
      <c r="C9" s="27">
        <v>21.0</v>
      </c>
    </row>
    <row r="10" ht="22.5" customHeight="1">
      <c r="A10" s="26" t="s">
        <v>336</v>
      </c>
      <c r="B10" s="27" t="s">
        <v>342</v>
      </c>
      <c r="C10" s="27">
        <v>21.0</v>
      </c>
    </row>
    <row r="11" ht="22.5" customHeight="1">
      <c r="A11" s="26" t="s">
        <v>182</v>
      </c>
      <c r="B11" s="27" t="s">
        <v>200</v>
      </c>
      <c r="C11" s="27">
        <v>12.0</v>
      </c>
    </row>
    <row r="12" ht="22.5" customHeight="1">
      <c r="A12" s="26" t="s">
        <v>182</v>
      </c>
      <c r="B12" s="27" t="s">
        <v>186</v>
      </c>
      <c r="C12" s="27">
        <v>11.0</v>
      </c>
    </row>
    <row r="13" ht="22.5" customHeight="1">
      <c r="A13" s="26" t="s">
        <v>128</v>
      </c>
      <c r="B13" s="27" t="s">
        <v>134</v>
      </c>
      <c r="C13" s="27">
        <v>9.0</v>
      </c>
    </row>
    <row r="14" ht="22.5" customHeight="1">
      <c r="A14" s="26" t="s">
        <v>506</v>
      </c>
      <c r="B14" s="27" t="s">
        <v>519</v>
      </c>
      <c r="C14" s="27">
        <v>9.0</v>
      </c>
    </row>
    <row r="15" ht="22.5" customHeight="1">
      <c r="A15" s="26" t="s">
        <v>662</v>
      </c>
      <c r="B15" s="27" t="s">
        <v>663</v>
      </c>
      <c r="C15" s="27">
        <v>9.0</v>
      </c>
    </row>
    <row r="16" ht="22.5" customHeight="1">
      <c r="A16" s="26" t="s">
        <v>182</v>
      </c>
      <c r="B16" s="27" t="s">
        <v>220</v>
      </c>
      <c r="C16" s="27">
        <v>8.0</v>
      </c>
    </row>
    <row r="17" ht="22.5" customHeight="1">
      <c r="A17" s="26" t="s">
        <v>128</v>
      </c>
      <c r="B17" s="26" t="s">
        <v>129</v>
      </c>
      <c r="C17" s="26">
        <v>8.0</v>
      </c>
    </row>
    <row r="18" ht="22.5" customHeight="1">
      <c r="A18" s="26" t="s">
        <v>662</v>
      </c>
      <c r="B18" s="26" t="s">
        <v>676</v>
      </c>
      <c r="C18" s="26">
        <v>7.0</v>
      </c>
    </row>
    <row r="19" ht="22.5" customHeight="1">
      <c r="A19" s="28"/>
      <c r="B19" s="26" t="s">
        <v>821</v>
      </c>
      <c r="C19" s="27">
        <f>SUM(Model[Sales Volume])</f>
        <v>334</v>
      </c>
    </row>
  </sheetData>
  <mergeCells count="1">
    <mergeCell ref="A1:C1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20.5"/>
    <col customWidth="1" min="3" max="3" width="13.38"/>
    <col customWidth="1" min="4" max="4" width="12.75"/>
    <col customWidth="1" min="5" max="6" width="2.63"/>
    <col customWidth="1" min="7" max="7" width="24.75"/>
    <col customWidth="1" min="8" max="8" width="13.13"/>
    <col customWidth="1" min="9" max="9" width="12.75"/>
  </cols>
  <sheetData>
    <row r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30"/>
      <c r="E3" s="30"/>
      <c r="F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s="29"/>
      <c r="E4" s="29"/>
      <c r="F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29"/>
      <c r="E5" s="29"/>
      <c r="F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29"/>
      <c r="E6" s="29"/>
      <c r="F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29"/>
      <c r="E7" s="29"/>
      <c r="F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29"/>
      <c r="E8" s="29"/>
      <c r="F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29"/>
      <c r="B9" s="29"/>
      <c r="C9" s="29"/>
      <c r="D9" s="29"/>
      <c r="E9" s="29"/>
      <c r="F9" s="29"/>
      <c r="G9" s="34"/>
      <c r="H9" s="33"/>
      <c r="I9" s="34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29"/>
      <c r="B10" s="29"/>
      <c r="C10" s="29"/>
      <c r="D10" s="29"/>
      <c r="E10" s="29"/>
      <c r="F10" s="29"/>
      <c r="G10" s="34"/>
      <c r="H10" s="33"/>
      <c r="I10" s="34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29"/>
      <c r="B11" s="29"/>
      <c r="C11" s="29"/>
      <c r="D11" s="29"/>
      <c r="E11" s="29"/>
      <c r="F11" s="29"/>
      <c r="G11" s="34"/>
      <c r="H11" s="33"/>
      <c r="I11" s="34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29"/>
      <c r="B12" s="29"/>
      <c r="C12" s="29"/>
      <c r="D12" s="29"/>
      <c r="E12" s="29"/>
      <c r="F12" s="29"/>
      <c r="G12" s="34"/>
      <c r="H12" s="33"/>
      <c r="I12" s="34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29"/>
      <c r="B13" s="29"/>
      <c r="C13" s="29"/>
      <c r="D13" s="29"/>
      <c r="E13" s="29"/>
      <c r="F13" s="29"/>
      <c r="G13" s="34"/>
      <c r="H13" s="33"/>
      <c r="I13" s="34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29"/>
      <c r="B14" s="29"/>
      <c r="C14" s="29"/>
      <c r="D14" s="29"/>
      <c r="E14" s="29"/>
      <c r="F14" s="29"/>
      <c r="G14" s="34"/>
      <c r="H14" s="33"/>
      <c r="I14" s="34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29"/>
      <c r="B15" s="29"/>
      <c r="C15" s="29"/>
      <c r="D15" s="29"/>
      <c r="E15" s="29"/>
      <c r="F15" s="29"/>
      <c r="G15" s="34"/>
      <c r="H15" s="33"/>
      <c r="I15" s="34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29"/>
      <c r="B16" s="29"/>
      <c r="C16" s="29"/>
      <c r="D16" s="29"/>
      <c r="E16" s="29"/>
      <c r="F16" s="29"/>
      <c r="G16" s="34"/>
      <c r="H16" s="33"/>
      <c r="I16" s="34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29"/>
      <c r="B17" s="29"/>
      <c r="C17" s="29"/>
      <c r="D17" s="29"/>
      <c r="E17" s="29"/>
      <c r="F17" s="29"/>
      <c r="G17" s="34"/>
      <c r="H17" s="33"/>
      <c r="I17" s="34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29"/>
      <c r="B18" s="29"/>
      <c r="C18" s="29"/>
      <c r="D18" s="29"/>
      <c r="E18" s="29"/>
      <c r="F18" s="29"/>
      <c r="G18" s="34"/>
      <c r="H18" s="33"/>
      <c r="I18" s="34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29"/>
      <c r="B19" s="29"/>
      <c r="C19" s="29"/>
      <c r="D19" s="29"/>
      <c r="E19" s="29"/>
      <c r="F19" s="29"/>
      <c r="G19" s="34"/>
      <c r="H19" s="33"/>
      <c r="I19" s="34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29"/>
      <c r="B20" s="29"/>
      <c r="C20" s="29"/>
      <c r="D20" s="29"/>
      <c r="E20" s="29"/>
      <c r="F20" s="29"/>
      <c r="G20" s="34"/>
      <c r="H20" s="33"/>
      <c r="I20" s="34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29"/>
      <c r="B21" s="29"/>
      <c r="C21" s="29"/>
      <c r="D21" s="29"/>
      <c r="E21" s="29"/>
      <c r="F21" s="29"/>
      <c r="G21" s="34"/>
      <c r="H21" s="33"/>
      <c r="I21" s="34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29"/>
      <c r="B22" s="29"/>
      <c r="C22" s="29"/>
      <c r="D22" s="29"/>
      <c r="E22" s="29"/>
      <c r="F22" s="29"/>
      <c r="G22" s="34"/>
      <c r="H22" s="33"/>
      <c r="I22" s="34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29"/>
      <c r="B23" s="29"/>
      <c r="C23" s="29"/>
      <c r="D23" s="29"/>
      <c r="E23" s="29"/>
      <c r="F23" s="29"/>
      <c r="G23" s="34"/>
      <c r="H23" s="33"/>
      <c r="I23" s="34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29"/>
      <c r="B24" s="29"/>
      <c r="C24" s="29"/>
      <c r="D24" s="29"/>
      <c r="E24" s="29"/>
      <c r="F24" s="29"/>
      <c r="G24" s="34"/>
      <c r="H24" s="33"/>
      <c r="I24" s="34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29"/>
      <c r="B25" s="29"/>
      <c r="C25" s="29"/>
      <c r="D25" s="29"/>
      <c r="E25" s="29"/>
      <c r="F25" s="29"/>
      <c r="G25" s="34"/>
      <c r="H25" s="33"/>
      <c r="I25" s="34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29"/>
      <c r="B26" s="29"/>
      <c r="C26" s="29"/>
      <c r="D26" s="29"/>
      <c r="E26" s="29"/>
      <c r="F26" s="29"/>
      <c r="G26" s="34"/>
      <c r="H26" s="33"/>
      <c r="I26" s="34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29"/>
      <c r="B27" s="29"/>
      <c r="C27" s="29"/>
      <c r="D27" s="29"/>
      <c r="E27" s="29"/>
      <c r="F27" s="29"/>
      <c r="G27" s="34"/>
      <c r="H27" s="33"/>
      <c r="I27" s="34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29"/>
      <c r="B28" s="29"/>
      <c r="C28" s="29"/>
      <c r="D28" s="29"/>
      <c r="E28" s="29"/>
      <c r="F28" s="29"/>
      <c r="G28" s="34"/>
      <c r="H28" s="33"/>
      <c r="I28" s="34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drawing r:id="rId3"/>
  <tableParts count="2"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8" width="25.13"/>
  </cols>
  <sheetData>
    <row r="1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ht="30.0" customHeight="1">
      <c r="A2" s="35"/>
      <c r="B2" s="36" t="s">
        <v>836</v>
      </c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mergeCells count="1">
    <mergeCell ref="B2:G2"/>
  </mergeCells>
  <drawing r:id="rId1"/>
</worksheet>
</file>